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45" windowHeight="12255"/>
  </bookViews>
  <sheets>
    <sheet name="学生体温检测" sheetId="1" r:id="rId1"/>
    <sheet name="学生档案" sheetId="2" r:id="rId2"/>
    <sheet name="体温异常" sheetId="3" r:id="rId3"/>
  </sheets>
  <definedNames>
    <definedName name="_xlnm.Criteria" localSheetId="2">体温异常!$A$1:$B$3</definedName>
    <definedName name="_xlnm.Extract" localSheetId="2">体温异常!$A$5:$F$5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<sst xmlns="http://schemas.openxmlformats.org/spreadsheetml/2006/main" count="370" uniqueCount="136">
  <si>
    <t>9月20日学生体温检测数据统计</t>
  </si>
  <si>
    <t>序号</t>
  </si>
  <si>
    <t>姓名</t>
  </si>
  <si>
    <t>性别</t>
  </si>
  <si>
    <t>班级</t>
  </si>
  <si>
    <t>红外体温</t>
  </si>
  <si>
    <t>预警级别</t>
  </si>
  <si>
    <t>备注</t>
  </si>
  <si>
    <t>张方梅</t>
  </si>
  <si>
    <t>女</t>
  </si>
  <si>
    <t>薛岩岩</t>
  </si>
  <si>
    <t>余悦</t>
  </si>
  <si>
    <t>桂倩倩</t>
  </si>
  <si>
    <t>潘久虹</t>
  </si>
  <si>
    <t>梁正</t>
  </si>
  <si>
    <t>男</t>
  </si>
  <si>
    <t>施海琴</t>
  </si>
  <si>
    <t>束梦婷</t>
  </si>
  <si>
    <t>张全</t>
  </si>
  <si>
    <t>朱玉妍</t>
  </si>
  <si>
    <t>李雪伟</t>
  </si>
  <si>
    <t>王瑞</t>
  </si>
  <si>
    <t>李晓宇</t>
  </si>
  <si>
    <t>万莹莹</t>
  </si>
  <si>
    <t>任杰</t>
  </si>
  <si>
    <t>罗淼</t>
  </si>
  <si>
    <t>翟雪成</t>
  </si>
  <si>
    <t>李秀茹</t>
  </si>
  <si>
    <t>伍和周</t>
  </si>
  <si>
    <t>刘蝶</t>
  </si>
  <si>
    <t>程婧</t>
  </si>
  <si>
    <t>陈颖</t>
  </si>
  <si>
    <t>李俊</t>
  </si>
  <si>
    <t>解振鑫</t>
  </si>
  <si>
    <t>刘安</t>
  </si>
  <si>
    <t>舒婷婷</t>
  </si>
  <si>
    <t>王欢</t>
  </si>
  <si>
    <t>丁治玲</t>
  </si>
  <si>
    <t>张文静</t>
  </si>
  <si>
    <t>梅思怡</t>
  </si>
  <si>
    <t>吴硕</t>
  </si>
  <si>
    <t>甘雨</t>
  </si>
  <si>
    <t>刘琦</t>
  </si>
  <si>
    <t>夏明星</t>
  </si>
  <si>
    <t>卞亭亭</t>
  </si>
  <si>
    <t>汇总统计</t>
  </si>
  <si>
    <t>体温正常人数</t>
  </si>
  <si>
    <t>体温偏高人数</t>
  </si>
  <si>
    <t>发烧人数</t>
  </si>
  <si>
    <t>学号</t>
  </si>
  <si>
    <t>身份证号</t>
  </si>
  <si>
    <t>院系</t>
  </si>
  <si>
    <t>1801120001</t>
  </si>
  <si>
    <t>130111200102265029</t>
  </si>
  <si>
    <t>2018级本科保险学1班</t>
  </si>
  <si>
    <t>国际经济学院</t>
  </si>
  <si>
    <t>1801120002</t>
  </si>
  <si>
    <t>132422199911167842</t>
  </si>
  <si>
    <t>1801120003</t>
  </si>
  <si>
    <t>132622200011304622</t>
  </si>
  <si>
    <t>1801120004</t>
  </si>
  <si>
    <t>132623199901110911</t>
  </si>
  <si>
    <t>1801120005</t>
  </si>
  <si>
    <t>130322200106261623</t>
  </si>
  <si>
    <t>1801120009</t>
  </si>
  <si>
    <t>131022200002090024</t>
  </si>
  <si>
    <t>1801130061</t>
  </si>
  <si>
    <t>130822200108246248</t>
  </si>
  <si>
    <t>2018级本科财务管理1班</t>
  </si>
  <si>
    <t>1801130062</t>
  </si>
  <si>
    <t>130824200011282824</t>
  </si>
  <si>
    <t>1801130064</t>
  </si>
  <si>
    <t>130824200102143048</t>
  </si>
  <si>
    <t>1801130066</t>
  </si>
  <si>
    <t>130824200201112618</t>
  </si>
  <si>
    <t>1801130069</t>
  </si>
  <si>
    <t>130826200105199218</t>
  </si>
  <si>
    <t>1801130071</t>
  </si>
  <si>
    <t>130827200107242714</t>
  </si>
  <si>
    <t>1801130072</t>
  </si>
  <si>
    <t>130827200101230018</t>
  </si>
  <si>
    <t>1801130114</t>
  </si>
  <si>
    <t>13122220001121822X</t>
  </si>
  <si>
    <t>1801140084</t>
  </si>
  <si>
    <t>130521199910102817</t>
  </si>
  <si>
    <t>2018级本科会计学2班</t>
  </si>
  <si>
    <t>1801140085</t>
  </si>
  <si>
    <t>130521200004202069</t>
  </si>
  <si>
    <t>1801140087</t>
  </si>
  <si>
    <t>130521200012254029</t>
  </si>
  <si>
    <t>1801140235</t>
  </si>
  <si>
    <t>13242520011231242X</t>
  </si>
  <si>
    <t>2018级本科会计学1班</t>
  </si>
  <si>
    <t>1801140237</t>
  </si>
  <si>
    <t>132425200004192421</t>
  </si>
  <si>
    <t>1801140239</t>
  </si>
  <si>
    <t>132425200101300722</t>
  </si>
  <si>
    <t>1801160010</t>
  </si>
  <si>
    <t>13262320001222062X</t>
  </si>
  <si>
    <t>2018级本科审计1班</t>
  </si>
  <si>
    <t>1801160011</t>
  </si>
  <si>
    <t>130222200109290010</t>
  </si>
  <si>
    <t>1801160012</t>
  </si>
  <si>
    <t>130222200101013908</t>
  </si>
  <si>
    <t>1801160013</t>
  </si>
  <si>
    <t>130223200103010846</t>
  </si>
  <si>
    <t>1801160014</t>
  </si>
  <si>
    <t>132626200102174710</t>
  </si>
  <si>
    <t>1801220056</t>
  </si>
  <si>
    <t>131322200101043628</t>
  </si>
  <si>
    <t>2018级应用英语2班</t>
  </si>
  <si>
    <t>西方语言学院</t>
  </si>
  <si>
    <t>1804120062</t>
  </si>
  <si>
    <t>132423200102216781</t>
  </si>
  <si>
    <t>2018级本科日语3班</t>
  </si>
  <si>
    <t>东方语言学院</t>
  </si>
  <si>
    <t>1804120063</t>
  </si>
  <si>
    <t>13242519991011481X</t>
  </si>
  <si>
    <t>1804120067</t>
  </si>
  <si>
    <t>131621200202213917</t>
  </si>
  <si>
    <t>1804120068</t>
  </si>
  <si>
    <t>131223200202230116</t>
  </si>
  <si>
    <t>1804130010</t>
  </si>
  <si>
    <t>131222200007056854</t>
  </si>
  <si>
    <t>2018级本科朝鲜语1班</t>
  </si>
  <si>
    <t>1805230150</t>
  </si>
  <si>
    <t>130822200007090229</t>
  </si>
  <si>
    <t>1805240005</t>
  </si>
  <si>
    <t>130602200102142425</t>
  </si>
  <si>
    <t>1805240010</t>
  </si>
  <si>
    <t>131602200111056087</t>
  </si>
  <si>
    <t>1805240012</t>
  </si>
  <si>
    <t>131281200107261567</t>
  </si>
  <si>
    <t>&gt;=37.2</t>
  </si>
  <si>
    <t>体温偏高</t>
  </si>
  <si>
    <t>发烧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</si>
</sst>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4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b/>
      <sz val="20"/>
      <color rgb="FFFF0000"/>
      <name val="黑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Border="1"/>
    <xf numFmtId="176" fontId="2" fillId="0" borderId="0" xfId="0" applyNumberFormat="1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applyFont="1" quotePrefix="1"/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b val="1"/>
        <i val="0"/>
        <color rgb="FFFF0000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A1" sqref="A1:G1"/>
    </sheetView>
  </sheetViews>
  <sheetFormatPr defaultColWidth="9" defaultRowHeight="14.25" outlineLevelCol="6"/>
  <cols>
    <col min="1" max="1" width="6.25" style="5" customWidth="1"/>
    <col min="2" max="2" width="10.5" style="5" customWidth="1"/>
    <col min="3" max="3" width="7.5" style="5" customWidth="1"/>
    <col min="4" max="4" width="24.875" style="5" customWidth="1"/>
    <col min="5" max="5" width="9.625" style="7" customWidth="1"/>
    <col min="6" max="6" width="15" style="5" customWidth="1"/>
    <col min="7" max="7" width="9.75" style="5" customWidth="1"/>
    <col min="8" max="16384" width="9" style="5"/>
  </cols>
  <sheetData>
    <row r="1" ht="35.25" customHeight="1" spans="1:7">
      <c r="A1" s="8" t="s">
        <v>0</v>
      </c>
      <c r="B1" s="8"/>
      <c r="C1" s="8"/>
      <c r="D1" s="8"/>
      <c r="E1" s="8"/>
      <c r="F1" s="8"/>
      <c r="G1" s="8"/>
    </row>
    <row r="2" ht="20.1" customHeight="1" spans="1:7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</row>
    <row r="3" ht="20.1" customHeight="1" spans="1:7">
      <c r="A3" s="2">
        <v>1</v>
      </c>
      <c r="B3" s="2" t="s">
        <v>8</v>
      </c>
      <c r="C3" s="2" t="s">
        <v>9</v>
      </c>
      <c r="D3" s="2" t="str">
        <f>VLOOKUP(B3,学生档案!$A$2:$E$36,5,0)</f>
        <v>2018级本科保险学1班</v>
      </c>
      <c r="E3" s="3">
        <v>35.9</v>
      </c>
      <c r="F3" s="2" t="str">
        <f>IF(E3&lt;36.8,"体温正常",IF(E3&lt;37.2,"体温偏高","发烧"))</f>
        <v>体温正常</v>
      </c>
      <c r="G3" s="2"/>
    </row>
    <row r="4" ht="20.1" customHeight="1" spans="1:7">
      <c r="A4" s="2">
        <v>2</v>
      </c>
      <c r="B4" s="2" t="s">
        <v>10</v>
      </c>
      <c r="C4" s="2" t="s">
        <v>9</v>
      </c>
      <c r="D4" s="2" t="str">
        <f>VLOOKUP(B4,学生档案!$A$2:$E$36,5,0)</f>
        <v>2018级应用英语2班</v>
      </c>
      <c r="E4" s="3">
        <v>36.4</v>
      </c>
      <c r="F4" s="2" t="str">
        <f t="shared" ref="F4:F37" si="0">IF(E4&lt;36.8,"体温正常",IF(E4&lt;37.2,"体温偏高","发烧"))</f>
        <v>体温正常</v>
      </c>
      <c r="G4" s="2"/>
    </row>
    <row r="5" ht="20.1" customHeight="1" spans="1:7">
      <c r="A5" s="2">
        <v>3</v>
      </c>
      <c r="B5" s="2" t="s">
        <v>11</v>
      </c>
      <c r="C5" s="2" t="s">
        <v>9</v>
      </c>
      <c r="D5" s="2" t="str">
        <f>VLOOKUP(B5,学生档案!$A$2:$E$36,5,0)</f>
        <v>2018级本科财务管理1班</v>
      </c>
      <c r="E5" s="3">
        <v>36.9</v>
      </c>
      <c r="F5" s="2" t="str">
        <f t="shared" si="0"/>
        <v>体温偏高</v>
      </c>
      <c r="G5" s="2"/>
    </row>
    <row r="6" ht="20.1" customHeight="1" spans="1:7">
      <c r="A6" s="2">
        <v>4</v>
      </c>
      <c r="B6" s="2" t="s">
        <v>12</v>
      </c>
      <c r="C6" s="2" t="s">
        <v>9</v>
      </c>
      <c r="D6" s="2" t="str">
        <f>VLOOKUP(B6,学生档案!$A$2:$E$36,5,0)</f>
        <v>2018级本科财务管理1班</v>
      </c>
      <c r="E6" s="3">
        <v>37.1</v>
      </c>
      <c r="F6" s="2" t="str">
        <f t="shared" si="0"/>
        <v>体温偏高</v>
      </c>
      <c r="G6" s="2"/>
    </row>
    <row r="7" ht="20.1" customHeight="1" spans="1:7">
      <c r="A7" s="2">
        <v>5</v>
      </c>
      <c r="B7" s="2" t="s">
        <v>13</v>
      </c>
      <c r="C7" s="2" t="s">
        <v>9</v>
      </c>
      <c r="D7" s="2" t="str">
        <f>VLOOKUP(B7,学生档案!$A$2:$E$36,5,0)</f>
        <v>2018级应用英语2班</v>
      </c>
      <c r="E7" s="3">
        <v>36.3</v>
      </c>
      <c r="F7" s="2" t="str">
        <f t="shared" si="0"/>
        <v>体温正常</v>
      </c>
      <c r="G7" s="2"/>
    </row>
    <row r="8" ht="20.1" customHeight="1" spans="1:7">
      <c r="A8" s="2">
        <v>6</v>
      </c>
      <c r="B8" s="2" t="s">
        <v>14</v>
      </c>
      <c r="C8" s="2" t="s">
        <v>15</v>
      </c>
      <c r="D8" s="2" t="str">
        <f>VLOOKUP(B8,学生档案!$A$2:$E$36,5,0)</f>
        <v>2018级本科审计1班</v>
      </c>
      <c r="E8" s="3">
        <v>37.1</v>
      </c>
      <c r="F8" s="2" t="str">
        <f t="shared" si="0"/>
        <v>体温偏高</v>
      </c>
      <c r="G8" s="2"/>
    </row>
    <row r="9" ht="20.1" customHeight="1" spans="1:7">
      <c r="A9" s="2">
        <v>7</v>
      </c>
      <c r="B9" s="2" t="s">
        <v>16</v>
      </c>
      <c r="C9" s="2" t="s">
        <v>9</v>
      </c>
      <c r="D9" s="2" t="str">
        <f>VLOOKUP(B9,学生档案!$A$2:$E$36,5,0)</f>
        <v>2018级本科审计1班</v>
      </c>
      <c r="E9" s="3">
        <v>36.6</v>
      </c>
      <c r="F9" s="2" t="str">
        <f t="shared" si="0"/>
        <v>体温正常</v>
      </c>
      <c r="G9" s="2"/>
    </row>
    <row r="10" ht="20.1" customHeight="1" spans="1:7">
      <c r="A10" s="2">
        <v>8</v>
      </c>
      <c r="B10" s="2" t="s">
        <v>17</v>
      </c>
      <c r="C10" s="2" t="s">
        <v>9</v>
      </c>
      <c r="D10" s="2" t="str">
        <f>VLOOKUP(B10,学生档案!$A$2:$E$36,5,0)</f>
        <v>2018级本科会计学1班</v>
      </c>
      <c r="E10" s="3">
        <v>37.8</v>
      </c>
      <c r="F10" s="2" t="str">
        <f t="shared" si="0"/>
        <v>发烧</v>
      </c>
      <c r="G10" s="2"/>
    </row>
    <row r="11" ht="20.1" customHeight="1" spans="1:7">
      <c r="A11" s="2">
        <v>9</v>
      </c>
      <c r="B11" s="2" t="s">
        <v>18</v>
      </c>
      <c r="C11" s="2" t="s">
        <v>15</v>
      </c>
      <c r="D11" s="2" t="str">
        <f>VLOOKUP(B11,学生档案!$A$2:$E$36,5,0)</f>
        <v>2018级本科会计学2班</v>
      </c>
      <c r="E11" s="3">
        <v>36.5</v>
      </c>
      <c r="F11" s="2" t="str">
        <f t="shared" si="0"/>
        <v>体温正常</v>
      </c>
      <c r="G11" s="2"/>
    </row>
    <row r="12" ht="20.1" customHeight="1" spans="1:7">
      <c r="A12" s="2">
        <v>10</v>
      </c>
      <c r="B12" s="2" t="s">
        <v>19</v>
      </c>
      <c r="C12" s="2" t="s">
        <v>9</v>
      </c>
      <c r="D12" s="2" t="str">
        <f>VLOOKUP(B12,学生档案!$A$2:$E$36,5,0)</f>
        <v>2018级应用英语2班</v>
      </c>
      <c r="E12" s="3">
        <v>35.9</v>
      </c>
      <c r="F12" s="2" t="str">
        <f t="shared" si="0"/>
        <v>体温正常</v>
      </c>
      <c r="G12" s="2"/>
    </row>
    <row r="13" ht="20.1" customHeight="1" spans="1:7">
      <c r="A13" s="2">
        <v>11</v>
      </c>
      <c r="B13" s="2" t="s">
        <v>20</v>
      </c>
      <c r="C13" s="2" t="s">
        <v>9</v>
      </c>
      <c r="D13" s="2" t="str">
        <f>VLOOKUP(B13,学生档案!$A$2:$E$36,5,0)</f>
        <v>2018级应用英语2班</v>
      </c>
      <c r="E13" s="3">
        <v>36</v>
      </c>
      <c r="F13" s="2" t="str">
        <f t="shared" si="0"/>
        <v>体温正常</v>
      </c>
      <c r="G13" s="2"/>
    </row>
    <row r="14" ht="20.1" customHeight="1" spans="1:7">
      <c r="A14" s="2">
        <v>12</v>
      </c>
      <c r="B14" s="2" t="s">
        <v>21</v>
      </c>
      <c r="C14" s="2" t="s">
        <v>9</v>
      </c>
      <c r="D14" s="2" t="str">
        <f>VLOOKUP(B14,学生档案!$A$2:$E$36,5,0)</f>
        <v>2018级应用英语2班</v>
      </c>
      <c r="E14" s="3">
        <v>36.9</v>
      </c>
      <c r="F14" s="2" t="str">
        <f t="shared" si="0"/>
        <v>体温偏高</v>
      </c>
      <c r="G14" s="2"/>
    </row>
    <row r="15" ht="20.1" customHeight="1" spans="1:7">
      <c r="A15" s="2">
        <v>13</v>
      </c>
      <c r="B15" s="2" t="s">
        <v>22</v>
      </c>
      <c r="C15" s="2" t="s">
        <v>15</v>
      </c>
      <c r="D15" s="2" t="str">
        <f>VLOOKUP(B15,学生档案!$A$2:$E$36,5,0)</f>
        <v>2018级本科朝鲜语1班</v>
      </c>
      <c r="E15" s="3">
        <v>36.7</v>
      </c>
      <c r="F15" s="2" t="str">
        <f t="shared" si="0"/>
        <v>体温正常</v>
      </c>
      <c r="G15" s="2"/>
    </row>
    <row r="16" ht="20.1" customHeight="1" spans="1:7">
      <c r="A16" s="2">
        <v>14</v>
      </c>
      <c r="B16" s="2" t="s">
        <v>23</v>
      </c>
      <c r="C16" s="2" t="s">
        <v>9</v>
      </c>
      <c r="D16" s="2" t="str">
        <f>VLOOKUP(B16,学生档案!$A$2:$E$36,5,0)</f>
        <v>2018级本科审计1班</v>
      </c>
      <c r="E16" s="3">
        <v>36.5</v>
      </c>
      <c r="F16" s="2" t="str">
        <f t="shared" si="0"/>
        <v>体温正常</v>
      </c>
      <c r="G16" s="2"/>
    </row>
    <row r="17" ht="20.1" customHeight="1" spans="1:7">
      <c r="A17" s="2">
        <v>15</v>
      </c>
      <c r="B17" s="2" t="s">
        <v>24</v>
      </c>
      <c r="C17" s="2" t="s">
        <v>15</v>
      </c>
      <c r="D17" s="2" t="str">
        <f>VLOOKUP(B17,学生档案!$A$2:$E$36,5,0)</f>
        <v>2018级本科日语3班</v>
      </c>
      <c r="E17" s="3">
        <v>37.5</v>
      </c>
      <c r="F17" s="2" t="str">
        <f t="shared" si="0"/>
        <v>发烧</v>
      </c>
      <c r="G17" s="2"/>
    </row>
    <row r="18" ht="20.1" customHeight="1" spans="1:7">
      <c r="A18" s="2">
        <v>16</v>
      </c>
      <c r="B18" s="2" t="s">
        <v>25</v>
      </c>
      <c r="C18" s="2" t="s">
        <v>15</v>
      </c>
      <c r="D18" s="2" t="str">
        <f>VLOOKUP(B18,学生档案!$A$2:$E$36,5,0)</f>
        <v>2018级本科日语3班</v>
      </c>
      <c r="E18" s="3">
        <v>36.1</v>
      </c>
      <c r="F18" s="2" t="str">
        <f t="shared" si="0"/>
        <v>体温正常</v>
      </c>
      <c r="G18" s="2"/>
    </row>
    <row r="19" ht="20.1" customHeight="1" spans="1:7">
      <c r="A19" s="2">
        <v>17</v>
      </c>
      <c r="B19" s="2" t="s">
        <v>26</v>
      </c>
      <c r="C19" s="2" t="s">
        <v>15</v>
      </c>
      <c r="D19" s="2" t="str">
        <f>VLOOKUP(B19,学生档案!$A$2:$E$36,5,0)</f>
        <v>2018级本科日语3班</v>
      </c>
      <c r="E19" s="3">
        <v>36.8</v>
      </c>
      <c r="F19" s="2" t="str">
        <f t="shared" si="0"/>
        <v>体温偏高</v>
      </c>
      <c r="G19" s="2"/>
    </row>
    <row r="20" ht="20.1" customHeight="1" spans="1:7">
      <c r="A20" s="2">
        <v>18</v>
      </c>
      <c r="B20" s="2" t="s">
        <v>27</v>
      </c>
      <c r="C20" s="2" t="s">
        <v>9</v>
      </c>
      <c r="D20" s="2" t="str">
        <f>VLOOKUP(B20,学生档案!$A$2:$E$36,5,0)</f>
        <v>2018级本科保险学1班</v>
      </c>
      <c r="E20" s="3">
        <v>38.1</v>
      </c>
      <c r="F20" s="2" t="str">
        <f t="shared" si="0"/>
        <v>发烧</v>
      </c>
      <c r="G20" s="2"/>
    </row>
    <row r="21" ht="20.1" customHeight="1" spans="1:7">
      <c r="A21" s="2">
        <v>19</v>
      </c>
      <c r="B21" s="2" t="s">
        <v>28</v>
      </c>
      <c r="C21" s="2" t="s">
        <v>15</v>
      </c>
      <c r="D21" s="2" t="str">
        <f>VLOOKUP(B21,学生档案!$A$2:$E$36,5,0)</f>
        <v>2018级本科保险学1班</v>
      </c>
      <c r="E21" s="3">
        <v>36.3</v>
      </c>
      <c r="F21" s="2" t="str">
        <f t="shared" si="0"/>
        <v>体温正常</v>
      </c>
      <c r="G21" s="2"/>
    </row>
    <row r="22" ht="20.1" customHeight="1" spans="1:7">
      <c r="A22" s="2">
        <v>20</v>
      </c>
      <c r="B22" s="2" t="s">
        <v>29</v>
      </c>
      <c r="C22" s="2" t="s">
        <v>9</v>
      </c>
      <c r="D22" s="2" t="str">
        <f>VLOOKUP(B22,学生档案!$A$2:$E$36,5,0)</f>
        <v>2018级本科保险学1班</v>
      </c>
      <c r="E22" s="3">
        <v>36.1</v>
      </c>
      <c r="F22" s="2" t="str">
        <f t="shared" si="0"/>
        <v>体温正常</v>
      </c>
      <c r="G22" s="2"/>
    </row>
    <row r="23" ht="20.1" customHeight="1" spans="1:7">
      <c r="A23" s="2">
        <v>21</v>
      </c>
      <c r="B23" s="2" t="s">
        <v>30</v>
      </c>
      <c r="C23" s="2" t="s">
        <v>9</v>
      </c>
      <c r="D23" s="2" t="str">
        <f>VLOOKUP(B23,学生档案!$A$2:$E$36,5,0)</f>
        <v>2018级本科保险学1班</v>
      </c>
      <c r="E23" s="3">
        <v>37.4</v>
      </c>
      <c r="F23" s="2" t="str">
        <f t="shared" si="0"/>
        <v>发烧</v>
      </c>
      <c r="G23" s="2"/>
    </row>
    <row r="24" ht="20.1" customHeight="1" spans="1:7">
      <c r="A24" s="2">
        <v>22</v>
      </c>
      <c r="B24" s="2" t="s">
        <v>31</v>
      </c>
      <c r="C24" s="2" t="s">
        <v>9</v>
      </c>
      <c r="D24" s="2" t="str">
        <f>VLOOKUP(B24,学生档案!$A$2:$E$36,5,0)</f>
        <v>2018级本科财务管理1班</v>
      </c>
      <c r="E24" s="3">
        <v>36.3</v>
      </c>
      <c r="F24" s="2" t="str">
        <f t="shared" si="0"/>
        <v>体温正常</v>
      </c>
      <c r="G24" s="2"/>
    </row>
    <row r="25" ht="20.1" customHeight="1" spans="1:7">
      <c r="A25" s="2">
        <v>23</v>
      </c>
      <c r="B25" s="2" t="s">
        <v>32</v>
      </c>
      <c r="C25" s="2" t="s">
        <v>15</v>
      </c>
      <c r="D25" s="2" t="str">
        <f>VLOOKUP(B25,学生档案!$A$2:$E$36,5,0)</f>
        <v>2018级本科财务管理1班</v>
      </c>
      <c r="E25" s="3">
        <v>36.2</v>
      </c>
      <c r="F25" s="2" t="str">
        <f t="shared" si="0"/>
        <v>体温正常</v>
      </c>
      <c r="G25" s="2"/>
    </row>
    <row r="26" ht="20.1" customHeight="1" spans="1:7">
      <c r="A26" s="2">
        <v>24</v>
      </c>
      <c r="B26" s="2" t="s">
        <v>33</v>
      </c>
      <c r="C26" s="2" t="s">
        <v>15</v>
      </c>
      <c r="D26" s="2" t="str">
        <f>VLOOKUP(B26,学生档案!$A$2:$E$36,5,0)</f>
        <v>2018级本科财务管理1班</v>
      </c>
      <c r="E26" s="3">
        <v>36.8</v>
      </c>
      <c r="F26" s="2" t="str">
        <f t="shared" si="0"/>
        <v>体温偏高</v>
      </c>
      <c r="G26" s="2"/>
    </row>
    <row r="27" ht="20.1" customHeight="1" spans="1:7">
      <c r="A27" s="2">
        <v>25</v>
      </c>
      <c r="B27" s="2" t="s">
        <v>34</v>
      </c>
      <c r="C27" s="2" t="s">
        <v>15</v>
      </c>
      <c r="D27" s="2" t="str">
        <f>VLOOKUP(B27,学生档案!$A$2:$E$36,5,0)</f>
        <v>2018级本科财务管理1班</v>
      </c>
      <c r="E27" s="3">
        <v>37.7</v>
      </c>
      <c r="F27" s="2" t="str">
        <f t="shared" si="0"/>
        <v>发烧</v>
      </c>
      <c r="G27" s="2"/>
    </row>
    <row r="28" ht="20.1" customHeight="1" spans="1:7">
      <c r="A28" s="2">
        <v>26</v>
      </c>
      <c r="B28" s="2" t="s">
        <v>35</v>
      </c>
      <c r="C28" s="2" t="s">
        <v>9</v>
      </c>
      <c r="D28" s="2" t="str">
        <f>VLOOKUP(B28,学生档案!$A$2:$E$36,5,0)</f>
        <v>2018级本科会计学1班</v>
      </c>
      <c r="E28" s="3">
        <v>38.1</v>
      </c>
      <c r="F28" s="2" t="str">
        <f t="shared" si="0"/>
        <v>发烧</v>
      </c>
      <c r="G28" s="2"/>
    </row>
    <row r="29" ht="20.1" customHeight="1" spans="1:7">
      <c r="A29" s="2">
        <v>27</v>
      </c>
      <c r="B29" s="2" t="s">
        <v>36</v>
      </c>
      <c r="C29" s="2" t="s">
        <v>9</v>
      </c>
      <c r="D29" s="2" t="str">
        <f>VLOOKUP(B29,学生档案!$A$2:$E$36,5,0)</f>
        <v>2018级本科会计学1班</v>
      </c>
      <c r="E29" s="3">
        <v>36.9</v>
      </c>
      <c r="F29" s="2" t="str">
        <f t="shared" si="0"/>
        <v>体温偏高</v>
      </c>
      <c r="G29" s="2"/>
    </row>
    <row r="30" ht="20.1" customHeight="1" spans="1:7">
      <c r="A30" s="2">
        <v>28</v>
      </c>
      <c r="B30" s="2" t="s">
        <v>37</v>
      </c>
      <c r="C30" s="2" t="s">
        <v>9</v>
      </c>
      <c r="D30" s="2" t="str">
        <f>VLOOKUP(B30,学生档案!$A$2:$E$36,5,0)</f>
        <v>2018级本科会计学2班</v>
      </c>
      <c r="E30" s="3">
        <v>36.3</v>
      </c>
      <c r="F30" s="2" t="str">
        <f t="shared" si="0"/>
        <v>体温正常</v>
      </c>
      <c r="G30" s="2"/>
    </row>
    <row r="31" ht="20.1" customHeight="1" spans="1:7">
      <c r="A31" s="2">
        <v>29</v>
      </c>
      <c r="B31" s="2" t="s">
        <v>38</v>
      </c>
      <c r="C31" s="2" t="s">
        <v>9</v>
      </c>
      <c r="D31" s="2" t="str">
        <f>VLOOKUP(B31,学生档案!$A$2:$E$36,5,0)</f>
        <v>2018级本科会计学2班</v>
      </c>
      <c r="E31" s="3">
        <v>37.1</v>
      </c>
      <c r="F31" s="2" t="str">
        <f t="shared" si="0"/>
        <v>体温偏高</v>
      </c>
      <c r="G31" s="2"/>
    </row>
    <row r="32" ht="20.1" customHeight="1" spans="1:7">
      <c r="A32" s="2">
        <v>30</v>
      </c>
      <c r="B32" s="2" t="s">
        <v>39</v>
      </c>
      <c r="C32" s="2" t="s">
        <v>9</v>
      </c>
      <c r="D32" s="2" t="str">
        <f>VLOOKUP(B32,学生档案!$A$2:$E$36,5,0)</f>
        <v>2018级本科审计1班</v>
      </c>
      <c r="E32" s="3">
        <v>37.2</v>
      </c>
      <c r="F32" s="2" t="str">
        <f t="shared" si="0"/>
        <v>发烧</v>
      </c>
      <c r="G32" s="2"/>
    </row>
    <row r="33" ht="20.1" customHeight="1" spans="1:7">
      <c r="A33" s="2">
        <v>31</v>
      </c>
      <c r="B33" s="2" t="s">
        <v>40</v>
      </c>
      <c r="C33" s="2" t="s">
        <v>15</v>
      </c>
      <c r="D33" s="2" t="str">
        <f>VLOOKUP(B33,学生档案!$A$2:$E$36,5,0)</f>
        <v>2018级本科审计1班</v>
      </c>
      <c r="E33" s="3">
        <v>35.9</v>
      </c>
      <c r="F33" s="2" t="str">
        <f t="shared" si="0"/>
        <v>体温正常</v>
      </c>
      <c r="G33" s="2"/>
    </row>
    <row r="34" ht="20.1" customHeight="1" spans="1:7">
      <c r="A34" s="2">
        <v>32</v>
      </c>
      <c r="B34" s="2" t="s">
        <v>41</v>
      </c>
      <c r="C34" s="2" t="s">
        <v>9</v>
      </c>
      <c r="D34" s="2" t="str">
        <f>VLOOKUP(B34,学生档案!$A$2:$E$36,5,0)</f>
        <v>2018级本科日语3班</v>
      </c>
      <c r="E34" s="3">
        <v>36.4</v>
      </c>
      <c r="F34" s="2" t="str">
        <f t="shared" si="0"/>
        <v>体温正常</v>
      </c>
      <c r="G34" s="2"/>
    </row>
    <row r="35" ht="20.1" customHeight="1" spans="1:7">
      <c r="A35" s="2">
        <v>33</v>
      </c>
      <c r="B35" s="2" t="s">
        <v>42</v>
      </c>
      <c r="C35" s="2" t="s">
        <v>15</v>
      </c>
      <c r="D35" s="2" t="str">
        <f>VLOOKUP(B35,学生档案!$A$2:$E$36,5,0)</f>
        <v>2018级本科财务管理1班</v>
      </c>
      <c r="E35" s="3">
        <v>36.2</v>
      </c>
      <c r="F35" s="2" t="str">
        <f t="shared" si="0"/>
        <v>体温正常</v>
      </c>
      <c r="G35" s="2"/>
    </row>
    <row r="36" ht="20.1" customHeight="1" spans="1:7">
      <c r="A36" s="2">
        <v>34</v>
      </c>
      <c r="B36" s="2" t="s">
        <v>43</v>
      </c>
      <c r="C36" s="2" t="s">
        <v>9</v>
      </c>
      <c r="D36" s="2" t="str">
        <f>VLOOKUP(B36,学生档案!$A$2:$E$36,5,0)</f>
        <v>2018级本科保险学1班</v>
      </c>
      <c r="E36" s="3">
        <v>36</v>
      </c>
      <c r="F36" s="2" t="str">
        <f t="shared" si="0"/>
        <v>体温正常</v>
      </c>
      <c r="G36" s="2"/>
    </row>
    <row r="37" ht="20.1" customHeight="1" spans="1:7">
      <c r="A37" s="2">
        <v>35</v>
      </c>
      <c r="B37" s="2" t="s">
        <v>44</v>
      </c>
      <c r="C37" s="2" t="s">
        <v>9</v>
      </c>
      <c r="D37" s="2" t="str">
        <f>VLOOKUP(B37,学生档案!$A$2:$E$36,5,0)</f>
        <v>2018级本科财务管理1班</v>
      </c>
      <c r="E37" s="3">
        <v>36.1</v>
      </c>
      <c r="F37" s="2" t="str">
        <f t="shared" si="0"/>
        <v>体温正常</v>
      </c>
      <c r="G37" s="2"/>
    </row>
    <row r="38" ht="20.1" customHeight="1" spans="1:7">
      <c r="A38" s="9"/>
      <c r="B38" s="9"/>
      <c r="C38" s="9"/>
      <c r="D38" s="9"/>
      <c r="E38" s="10"/>
      <c r="F38" s="9"/>
      <c r="G38" s="9"/>
    </row>
    <row r="39" s="6" customFormat="1" ht="20.1" customHeight="1" spans="1:7">
      <c r="A39" s="11"/>
      <c r="B39" s="11"/>
      <c r="C39" s="11"/>
      <c r="D39" s="11"/>
      <c r="E39" s="12" t="s">
        <v>45</v>
      </c>
      <c r="F39" s="2" t="s">
        <v>46</v>
      </c>
      <c r="G39" s="2">
        <f>COUNTIF(F3:F37,"体温正常")</f>
        <v>20</v>
      </c>
    </row>
    <row r="40" s="6" customFormat="1" ht="20.1" customHeight="1" spans="1:7">
      <c r="A40" s="11"/>
      <c r="B40" s="11"/>
      <c r="C40" s="11"/>
      <c r="D40" s="11"/>
      <c r="E40" s="12"/>
      <c r="F40" s="2" t="s">
        <v>47</v>
      </c>
      <c r="G40" s="2">
        <f>COUNTIF(F3:F37,"体温偏高")</f>
        <v>8</v>
      </c>
    </row>
    <row r="41" s="6" customFormat="1" ht="20.1" customHeight="1" spans="1:7">
      <c r="A41" s="11"/>
      <c r="B41" s="11"/>
      <c r="C41" s="11"/>
      <c r="D41" s="11"/>
      <c r="E41" s="12"/>
      <c r="F41" s="2" t="s">
        <v>48</v>
      </c>
      <c r="G41" s="2">
        <f>COUNTIF(F3:F37,"发烧")</f>
        <v>7</v>
      </c>
    </row>
  </sheetData>
  <mergeCells count="1">
    <mergeCell ref="A1:G1"/>
  </mergeCells>
  <conditionalFormatting sqref="E3:E37">
    <cfRule type="cellIs" dxfId="0" priority="1" operator="greaterThanOrEqual">
      <formula>37.2</formula>
    </cfRule>
  </conditionalFormatting>
  <pageMargins left="0.7" right="0.7" top="0.75" bottom="0.75" header="0.3" footer="0.3"/>
  <pageSetup paperSize="9" orientation="portrait" horizontalDpi="1200" verticalDpi="1200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2" sqref="A2"/>
    </sheetView>
  </sheetViews>
  <sheetFormatPr defaultColWidth="9" defaultRowHeight="14.25" outlineLevelCol="5"/>
  <cols>
    <col min="1" max="1" width="11.25" style="5" customWidth="1"/>
    <col min="2" max="2" width="6.875" style="5" customWidth="1"/>
    <col min="3" max="3" width="17.25" style="5" customWidth="1"/>
    <col min="4" max="4" width="23.5" style="5" customWidth="1"/>
    <col min="5" max="5" width="31" style="5" customWidth="1"/>
    <col min="6" max="6" width="19.875" style="5" customWidth="1"/>
    <col min="7" max="16384" width="9" style="5"/>
  </cols>
  <sheetData>
    <row r="1" spans="1:6">
      <c r="A1" s="5" t="s">
        <v>2</v>
      </c>
      <c r="B1" s="5" t="s">
        <v>3</v>
      </c>
      <c r="C1" s="5" t="s">
        <v>49</v>
      </c>
      <c r="D1" s="5" t="s">
        <v>50</v>
      </c>
      <c r="E1" s="5" t="s">
        <v>4</v>
      </c>
      <c r="F1" s="5" t="s">
        <v>51</v>
      </c>
    </row>
    <row r="2" spans="1:6">
      <c r="A2" s="5" t="s">
        <v>27</v>
      </c>
      <c r="B2" s="5" t="s">
        <v>9</v>
      </c>
      <c r="C2" s="5" t="s">
        <v>52</v>
      </c>
      <c r="D2" s="13" t="s">
        <v>53</v>
      </c>
      <c r="E2" s="5" t="s">
        <v>54</v>
      </c>
      <c r="F2" s="5" t="s">
        <v>55</v>
      </c>
    </row>
    <row r="3" spans="1:6">
      <c r="A3" s="5" t="s">
        <v>8</v>
      </c>
      <c r="B3" s="5" t="s">
        <v>9</v>
      </c>
      <c r="C3" s="5" t="s">
        <v>56</v>
      </c>
      <c r="D3" s="13" t="s">
        <v>57</v>
      </c>
      <c r="E3" s="5" t="s">
        <v>54</v>
      </c>
      <c r="F3" s="5" t="s">
        <v>55</v>
      </c>
    </row>
    <row r="4" spans="1:6">
      <c r="A4" s="5" t="s">
        <v>43</v>
      </c>
      <c r="B4" s="5" t="s">
        <v>9</v>
      </c>
      <c r="C4" s="5" t="s">
        <v>58</v>
      </c>
      <c r="D4" s="13" t="s">
        <v>59</v>
      </c>
      <c r="E4" s="5" t="s">
        <v>54</v>
      </c>
      <c r="F4" s="5" t="s">
        <v>55</v>
      </c>
    </row>
    <row r="5" spans="1:6">
      <c r="A5" s="5" t="s">
        <v>28</v>
      </c>
      <c r="B5" s="5" t="s">
        <v>15</v>
      </c>
      <c r="C5" s="5" t="s">
        <v>60</v>
      </c>
      <c r="D5" s="13" t="s">
        <v>61</v>
      </c>
      <c r="E5" s="5" t="s">
        <v>54</v>
      </c>
      <c r="F5" s="5" t="s">
        <v>55</v>
      </c>
    </row>
    <row r="6" spans="1:6">
      <c r="A6" s="5" t="s">
        <v>29</v>
      </c>
      <c r="B6" s="5" t="s">
        <v>9</v>
      </c>
      <c r="C6" s="5" t="s">
        <v>62</v>
      </c>
      <c r="D6" s="13" t="s">
        <v>63</v>
      </c>
      <c r="E6" s="5" t="s">
        <v>54</v>
      </c>
      <c r="F6" s="5" t="s">
        <v>55</v>
      </c>
    </row>
    <row r="7" spans="1:6">
      <c r="A7" s="5" t="s">
        <v>30</v>
      </c>
      <c r="B7" s="5" t="s">
        <v>9</v>
      </c>
      <c r="C7" s="5" t="s">
        <v>64</v>
      </c>
      <c r="D7" s="13" t="s">
        <v>65</v>
      </c>
      <c r="E7" s="5" t="s">
        <v>54</v>
      </c>
      <c r="F7" s="5" t="s">
        <v>55</v>
      </c>
    </row>
    <row r="8" spans="1:6">
      <c r="A8" s="5" t="s">
        <v>31</v>
      </c>
      <c r="B8" s="5" t="s">
        <v>9</v>
      </c>
      <c r="C8" s="5" t="s">
        <v>66</v>
      </c>
      <c r="D8" s="13" t="s">
        <v>67</v>
      </c>
      <c r="E8" s="5" t="s">
        <v>68</v>
      </c>
      <c r="F8" s="5" t="s">
        <v>55</v>
      </c>
    </row>
    <row r="9" spans="1:6">
      <c r="A9" s="5" t="s">
        <v>11</v>
      </c>
      <c r="B9" s="5" t="s">
        <v>9</v>
      </c>
      <c r="C9" s="5" t="s">
        <v>69</v>
      </c>
      <c r="D9" s="13" t="s">
        <v>70</v>
      </c>
      <c r="E9" s="5" t="s">
        <v>68</v>
      </c>
      <c r="F9" s="5" t="s">
        <v>55</v>
      </c>
    </row>
    <row r="10" spans="1:6">
      <c r="A10" s="5" t="s">
        <v>12</v>
      </c>
      <c r="B10" s="5" t="s">
        <v>9</v>
      </c>
      <c r="C10" s="5" t="s">
        <v>71</v>
      </c>
      <c r="D10" s="13" t="s">
        <v>72</v>
      </c>
      <c r="E10" s="5" t="s">
        <v>68</v>
      </c>
      <c r="F10" s="5" t="s">
        <v>55</v>
      </c>
    </row>
    <row r="11" spans="1:6">
      <c r="A11" s="5" t="s">
        <v>32</v>
      </c>
      <c r="B11" s="5" t="s">
        <v>15</v>
      </c>
      <c r="C11" s="5" t="s">
        <v>73</v>
      </c>
      <c r="D11" s="13" t="s">
        <v>74</v>
      </c>
      <c r="E11" s="5" t="s">
        <v>68</v>
      </c>
      <c r="F11" s="5" t="s">
        <v>55</v>
      </c>
    </row>
    <row r="12" spans="1:6">
      <c r="A12" s="5" t="s">
        <v>33</v>
      </c>
      <c r="B12" s="5" t="s">
        <v>15</v>
      </c>
      <c r="C12" s="5" t="s">
        <v>75</v>
      </c>
      <c r="D12" s="13" t="s">
        <v>76</v>
      </c>
      <c r="E12" s="5" t="s">
        <v>68</v>
      </c>
      <c r="F12" s="5" t="s">
        <v>55</v>
      </c>
    </row>
    <row r="13" spans="1:6">
      <c r="A13" s="5" t="s">
        <v>34</v>
      </c>
      <c r="B13" s="5" t="s">
        <v>15</v>
      </c>
      <c r="C13" s="5" t="s">
        <v>77</v>
      </c>
      <c r="D13" s="13" t="s">
        <v>78</v>
      </c>
      <c r="E13" s="5" t="s">
        <v>68</v>
      </c>
      <c r="F13" s="5" t="s">
        <v>55</v>
      </c>
    </row>
    <row r="14" spans="1:6">
      <c r="A14" s="5" t="s">
        <v>42</v>
      </c>
      <c r="B14" s="5" t="s">
        <v>15</v>
      </c>
      <c r="C14" s="5" t="s">
        <v>79</v>
      </c>
      <c r="D14" s="13" t="s">
        <v>80</v>
      </c>
      <c r="E14" s="5" t="s">
        <v>68</v>
      </c>
      <c r="F14" s="5" t="s">
        <v>55</v>
      </c>
    </row>
    <row r="15" spans="1:6">
      <c r="A15" s="5" t="s">
        <v>44</v>
      </c>
      <c r="B15" s="5" t="s">
        <v>9</v>
      </c>
      <c r="C15" s="5" t="s">
        <v>81</v>
      </c>
      <c r="D15" s="13" t="s">
        <v>82</v>
      </c>
      <c r="E15" s="5" t="s">
        <v>68</v>
      </c>
      <c r="F15" s="5" t="s">
        <v>55</v>
      </c>
    </row>
    <row r="16" spans="1:6">
      <c r="A16" s="5" t="s">
        <v>18</v>
      </c>
      <c r="B16" s="5" t="s">
        <v>15</v>
      </c>
      <c r="C16" s="5" t="s">
        <v>83</v>
      </c>
      <c r="D16" s="13" t="s">
        <v>84</v>
      </c>
      <c r="E16" s="5" t="s">
        <v>85</v>
      </c>
      <c r="F16" s="5" t="s">
        <v>55</v>
      </c>
    </row>
    <row r="17" spans="1:6">
      <c r="A17" s="5" t="s">
        <v>37</v>
      </c>
      <c r="B17" s="5" t="s">
        <v>9</v>
      </c>
      <c r="C17" s="5" t="s">
        <v>86</v>
      </c>
      <c r="D17" s="13" t="s">
        <v>87</v>
      </c>
      <c r="E17" s="5" t="s">
        <v>85</v>
      </c>
      <c r="F17" s="5" t="s">
        <v>55</v>
      </c>
    </row>
    <row r="18" spans="1:6">
      <c r="A18" s="5" t="s">
        <v>38</v>
      </c>
      <c r="B18" s="5" t="s">
        <v>9</v>
      </c>
      <c r="C18" s="5" t="s">
        <v>88</v>
      </c>
      <c r="D18" s="13" t="s">
        <v>89</v>
      </c>
      <c r="E18" s="5" t="s">
        <v>85</v>
      </c>
      <c r="F18" s="5" t="s">
        <v>55</v>
      </c>
    </row>
    <row r="19" spans="1:6">
      <c r="A19" s="5" t="s">
        <v>35</v>
      </c>
      <c r="B19" s="5" t="s">
        <v>9</v>
      </c>
      <c r="C19" s="5" t="s">
        <v>90</v>
      </c>
      <c r="D19" s="13" t="s">
        <v>91</v>
      </c>
      <c r="E19" s="5" t="s">
        <v>92</v>
      </c>
      <c r="F19" s="5" t="s">
        <v>55</v>
      </c>
    </row>
    <row r="20" spans="1:6">
      <c r="A20" s="5" t="s">
        <v>36</v>
      </c>
      <c r="B20" s="5" t="s">
        <v>9</v>
      </c>
      <c r="C20" s="5" t="s">
        <v>93</v>
      </c>
      <c r="D20" s="13" t="s">
        <v>94</v>
      </c>
      <c r="E20" s="5" t="s">
        <v>92</v>
      </c>
      <c r="F20" s="5" t="s">
        <v>55</v>
      </c>
    </row>
    <row r="21" spans="1:6">
      <c r="A21" s="5" t="s">
        <v>17</v>
      </c>
      <c r="B21" s="5" t="s">
        <v>9</v>
      </c>
      <c r="C21" s="5" t="s">
        <v>95</v>
      </c>
      <c r="D21" s="13" t="s">
        <v>96</v>
      </c>
      <c r="E21" s="5" t="s">
        <v>92</v>
      </c>
      <c r="F21" s="5" t="s">
        <v>55</v>
      </c>
    </row>
    <row r="22" spans="1:6">
      <c r="A22" s="5" t="s">
        <v>23</v>
      </c>
      <c r="B22" s="5" t="s">
        <v>9</v>
      </c>
      <c r="C22" s="5" t="s">
        <v>97</v>
      </c>
      <c r="D22" s="13" t="s">
        <v>98</v>
      </c>
      <c r="E22" s="5" t="s">
        <v>99</v>
      </c>
      <c r="F22" s="5" t="s">
        <v>55</v>
      </c>
    </row>
    <row r="23" spans="1:6">
      <c r="A23" s="5" t="s">
        <v>14</v>
      </c>
      <c r="B23" s="5" t="s">
        <v>15</v>
      </c>
      <c r="C23" s="5" t="s">
        <v>100</v>
      </c>
      <c r="D23" s="13" t="s">
        <v>101</v>
      </c>
      <c r="E23" s="5" t="s">
        <v>99</v>
      </c>
      <c r="F23" s="5" t="s">
        <v>55</v>
      </c>
    </row>
    <row r="24" spans="1:6">
      <c r="A24" s="5" t="s">
        <v>16</v>
      </c>
      <c r="B24" s="5" t="s">
        <v>9</v>
      </c>
      <c r="C24" s="5" t="s">
        <v>102</v>
      </c>
      <c r="D24" s="13" t="s">
        <v>103</v>
      </c>
      <c r="E24" s="5" t="s">
        <v>99</v>
      </c>
      <c r="F24" s="5" t="s">
        <v>55</v>
      </c>
    </row>
    <row r="25" spans="1:6">
      <c r="A25" s="5" t="s">
        <v>39</v>
      </c>
      <c r="B25" s="5" t="s">
        <v>9</v>
      </c>
      <c r="C25" s="5" t="s">
        <v>104</v>
      </c>
      <c r="D25" s="13" t="s">
        <v>105</v>
      </c>
      <c r="E25" s="5" t="s">
        <v>99</v>
      </c>
      <c r="F25" s="5" t="s">
        <v>55</v>
      </c>
    </row>
    <row r="26" spans="1:6">
      <c r="A26" s="5" t="s">
        <v>40</v>
      </c>
      <c r="B26" s="5" t="s">
        <v>15</v>
      </c>
      <c r="C26" s="5" t="s">
        <v>106</v>
      </c>
      <c r="D26" s="13" t="s">
        <v>107</v>
      </c>
      <c r="E26" s="5" t="s">
        <v>99</v>
      </c>
      <c r="F26" s="5" t="s">
        <v>55</v>
      </c>
    </row>
    <row r="27" spans="1:6">
      <c r="A27" s="5" t="s">
        <v>10</v>
      </c>
      <c r="B27" s="5" t="s">
        <v>9</v>
      </c>
      <c r="C27" s="5" t="s">
        <v>108</v>
      </c>
      <c r="D27" s="13" t="s">
        <v>109</v>
      </c>
      <c r="E27" s="5" t="s">
        <v>110</v>
      </c>
      <c r="F27" s="5" t="s">
        <v>111</v>
      </c>
    </row>
    <row r="28" spans="1:6">
      <c r="A28" s="5" t="s">
        <v>41</v>
      </c>
      <c r="B28" s="5" t="s">
        <v>9</v>
      </c>
      <c r="C28" s="5" t="s">
        <v>112</v>
      </c>
      <c r="D28" s="13" t="s">
        <v>113</v>
      </c>
      <c r="E28" s="5" t="s">
        <v>114</v>
      </c>
      <c r="F28" s="5" t="s">
        <v>115</v>
      </c>
    </row>
    <row r="29" spans="1:6">
      <c r="A29" s="5" t="s">
        <v>24</v>
      </c>
      <c r="B29" s="5" t="s">
        <v>15</v>
      </c>
      <c r="C29" s="5" t="s">
        <v>116</v>
      </c>
      <c r="D29" s="13" t="s">
        <v>117</v>
      </c>
      <c r="E29" s="5" t="s">
        <v>114</v>
      </c>
      <c r="F29" s="5" t="s">
        <v>115</v>
      </c>
    </row>
    <row r="30" spans="1:6">
      <c r="A30" s="5" t="s">
        <v>25</v>
      </c>
      <c r="B30" s="5" t="s">
        <v>15</v>
      </c>
      <c r="C30" s="5" t="s">
        <v>118</v>
      </c>
      <c r="D30" s="13" t="s">
        <v>119</v>
      </c>
      <c r="E30" s="5" t="s">
        <v>114</v>
      </c>
      <c r="F30" s="5" t="s">
        <v>115</v>
      </c>
    </row>
    <row r="31" spans="1:6">
      <c r="A31" s="5" t="s">
        <v>26</v>
      </c>
      <c r="B31" s="5" t="s">
        <v>15</v>
      </c>
      <c r="C31" s="5" t="s">
        <v>120</v>
      </c>
      <c r="D31" s="13" t="s">
        <v>121</v>
      </c>
      <c r="E31" s="5" t="s">
        <v>114</v>
      </c>
      <c r="F31" s="5" t="s">
        <v>115</v>
      </c>
    </row>
    <row r="32" spans="1:6">
      <c r="A32" s="5" t="s">
        <v>22</v>
      </c>
      <c r="B32" s="5" t="s">
        <v>15</v>
      </c>
      <c r="C32" s="5" t="s">
        <v>122</v>
      </c>
      <c r="D32" s="13" t="s">
        <v>123</v>
      </c>
      <c r="E32" s="5" t="s">
        <v>124</v>
      </c>
      <c r="F32" s="5" t="s">
        <v>115</v>
      </c>
    </row>
    <row r="33" spans="1:6">
      <c r="A33" s="5" t="s">
        <v>13</v>
      </c>
      <c r="B33" s="5" t="s">
        <v>9</v>
      </c>
      <c r="C33" s="5" t="s">
        <v>125</v>
      </c>
      <c r="D33" s="13" t="s">
        <v>126</v>
      </c>
      <c r="E33" s="5" t="s">
        <v>110</v>
      </c>
      <c r="F33" s="5" t="s">
        <v>111</v>
      </c>
    </row>
    <row r="34" spans="1:6">
      <c r="A34" s="5" t="s">
        <v>19</v>
      </c>
      <c r="B34" s="5" t="s">
        <v>9</v>
      </c>
      <c r="C34" s="5" t="s">
        <v>127</v>
      </c>
      <c r="D34" s="13" t="s">
        <v>128</v>
      </c>
      <c r="E34" s="5" t="s">
        <v>110</v>
      </c>
      <c r="F34" s="5" t="s">
        <v>111</v>
      </c>
    </row>
    <row r="35" spans="1:6">
      <c r="A35" s="5" t="s">
        <v>20</v>
      </c>
      <c r="B35" s="5" t="s">
        <v>9</v>
      </c>
      <c r="C35" s="5" t="s">
        <v>129</v>
      </c>
      <c r="D35" s="13" t="s">
        <v>130</v>
      </c>
      <c r="E35" s="5" t="s">
        <v>110</v>
      </c>
      <c r="F35" s="5" t="s">
        <v>111</v>
      </c>
    </row>
    <row r="36" spans="1:6">
      <c r="A36" s="5" t="s">
        <v>21</v>
      </c>
      <c r="B36" s="5" t="s">
        <v>9</v>
      </c>
      <c r="C36" s="5" t="s">
        <v>131</v>
      </c>
      <c r="D36" s="13" t="s">
        <v>132</v>
      </c>
      <c r="E36" s="5" t="s">
        <v>110</v>
      </c>
      <c r="F36" s="5" t="s">
        <v>111</v>
      </c>
    </row>
  </sheetData>
  <sortState ref="A1:F36">
    <sortCondition ref="C2"/>
  </sortState>
  <conditionalFormatting sqref="A$1:A$1048576">
    <cfRule type="duplicateValues" dxfId="1" priority="2"/>
    <cfRule type="duplicateValues" dxfId="2" priority="3"/>
  </conditionalFormatting>
  <conditionalFormatting sqref="C$1:C$1048576">
    <cfRule type="duplicateValues" dxfId="2" priority="1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20"/>
  <sheetViews>
    <sheetView workbookViewId="0">
      <selection activeCell="A5" sqref="A5"/>
    </sheetView>
  </sheetViews>
  <sheetFormatPr defaultColWidth="9" defaultRowHeight="13.5" outlineLevelCol="7"/>
  <cols>
    <col min="1" max="1" width="11.125" style="1" customWidth="1"/>
    <col min="2" max="2" width="12.25" style="1" customWidth="1"/>
    <col min="3" max="3" width="7.125" style="1" customWidth="1"/>
    <col min="4" max="4" width="30.125" style="1" customWidth="1"/>
    <col min="5" max="5" width="9" style="1"/>
    <col min="6" max="6" width="14.125" style="1" customWidth="1"/>
    <col min="7" max="7" width="15.625" style="1" customWidth="1"/>
    <col min="8" max="8" width="27.25" style="1" customWidth="1"/>
    <col min="9" max="16384" width="9" style="1"/>
  </cols>
  <sheetData>
    <row r="1" spans="1:2">
      <c r="A1" s="1" t="s">
        <v>5</v>
      </c>
      <c r="B1" s="1" t="s">
        <v>6</v>
      </c>
    </row>
    <row r="2" spans="1:1">
      <c r="A2" s="1" t="s">
        <v>133</v>
      </c>
    </row>
    <row r="3" spans="2:2">
      <c r="B3" s="1" t="s">
        <v>134</v>
      </c>
    </row>
    <row r="5" ht="30" customHeight="1" spans="1:8">
      <c r="A5" s="2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2" t="s">
        <v>6</v>
      </c>
      <c r="G5" s="4" t="s">
        <v>49</v>
      </c>
      <c r="H5" s="4" t="s">
        <v>50</v>
      </c>
    </row>
    <row r="6" ht="30" customHeight="1" spans="1:8">
      <c r="A6" s="2">
        <v>3</v>
      </c>
      <c r="B6" s="2" t="s">
        <v>11</v>
      </c>
      <c r="C6" s="2" t="s">
        <v>9</v>
      </c>
      <c r="D6" s="2" t="s">
        <v>68</v>
      </c>
      <c r="E6" s="3">
        <v>36.9</v>
      </c>
      <c r="F6" s="2" t="s">
        <v>134</v>
      </c>
      <c r="G6" s="4" t="str">
        <f>VLOOKUP(B6,学生档案!$A$2:$D$36,3,0)</f>
        <v>1801130062</v>
      </c>
      <c r="H6" s="14" t="str">
        <f>VLOOKUP(B6,学生档案!$A$2:$D$36,4,0)</f>
        <v>130824200011282824</v>
      </c>
    </row>
    <row r="7" ht="30" customHeight="1" spans="1:8">
      <c r="A7" s="2">
        <v>4</v>
      </c>
      <c r="B7" s="2" t="s">
        <v>12</v>
      </c>
      <c r="C7" s="2" t="s">
        <v>9</v>
      </c>
      <c r="D7" s="2" t="s">
        <v>68</v>
      </c>
      <c r="E7" s="3">
        <v>37.1</v>
      </c>
      <c r="F7" s="2" t="s">
        <v>134</v>
      </c>
      <c r="G7" s="4" t="str">
        <f>VLOOKUP(B7,学生档案!$A$2:$D$36,3,0)</f>
        <v>1801130064</v>
      </c>
      <c r="H7" s="14" t="str">
        <f>VLOOKUP(B7,学生档案!$A$2:$D$36,4,0)</f>
        <v>130824200102143048</v>
      </c>
    </row>
    <row r="8" ht="30" customHeight="1" spans="1:8">
      <c r="A8" s="2">
        <v>6</v>
      </c>
      <c r="B8" s="2" t="s">
        <v>14</v>
      </c>
      <c r="C8" s="2" t="s">
        <v>15</v>
      </c>
      <c r="D8" s="2" t="s">
        <v>99</v>
      </c>
      <c r="E8" s="3">
        <v>37.1</v>
      </c>
      <c r="F8" s="2" t="s">
        <v>134</v>
      </c>
      <c r="G8" s="4" t="str">
        <f>VLOOKUP(B8,学生档案!$A$2:$D$36,3,0)</f>
        <v>1801160011</v>
      </c>
      <c r="H8" s="14" t="str">
        <f>VLOOKUP(B8,学生档案!$A$2:$D$36,4,0)</f>
        <v>130222200109290010</v>
      </c>
    </row>
    <row r="9" ht="30" customHeight="1" spans="1:8">
      <c r="A9" s="2">
        <v>8</v>
      </c>
      <c r="B9" s="2" t="s">
        <v>17</v>
      </c>
      <c r="C9" s="2" t="s">
        <v>9</v>
      </c>
      <c r="D9" s="2" t="s">
        <v>92</v>
      </c>
      <c r="E9" s="3">
        <v>37.8</v>
      </c>
      <c r="F9" s="2" t="s">
        <v>135</v>
      </c>
      <c r="G9" s="4" t="str">
        <f>VLOOKUP(B9,学生档案!$A$2:$D$36,3,0)</f>
        <v>1801140239</v>
      </c>
      <c r="H9" s="14" t="str">
        <f>VLOOKUP(B9,学生档案!$A$2:$D$36,4,0)</f>
        <v>132425200101300722</v>
      </c>
    </row>
    <row r="10" ht="30" customHeight="1" spans="1:8">
      <c r="A10" s="2">
        <v>12</v>
      </c>
      <c r="B10" s="2" t="s">
        <v>21</v>
      </c>
      <c r="C10" s="2" t="s">
        <v>9</v>
      </c>
      <c r="D10" s="2" t="s">
        <v>110</v>
      </c>
      <c r="E10" s="3">
        <v>36.9</v>
      </c>
      <c r="F10" s="2" t="s">
        <v>134</v>
      </c>
      <c r="G10" s="4" t="str">
        <f>VLOOKUP(B10,学生档案!$A$2:$D$36,3,0)</f>
        <v>1805240012</v>
      </c>
      <c r="H10" s="14" t="str">
        <f>VLOOKUP(B10,学生档案!$A$2:$D$36,4,0)</f>
        <v>131281200107261567</v>
      </c>
    </row>
    <row r="11" ht="30" customHeight="1" spans="1:8">
      <c r="A11" s="2">
        <v>15</v>
      </c>
      <c r="B11" s="2" t="s">
        <v>24</v>
      </c>
      <c r="C11" s="2" t="s">
        <v>15</v>
      </c>
      <c r="D11" s="2" t="s">
        <v>114</v>
      </c>
      <c r="E11" s="3">
        <v>37.5</v>
      </c>
      <c r="F11" s="2" t="s">
        <v>135</v>
      </c>
      <c r="G11" s="4" t="str">
        <f>VLOOKUP(B11,学生档案!$A$2:$D$36,3,0)</f>
        <v>1804120063</v>
      </c>
      <c r="H11" s="14" t="str">
        <f>VLOOKUP(B11,学生档案!$A$2:$D$36,4,0)</f>
        <v>13242519991011481X</v>
      </c>
    </row>
    <row r="12" ht="30" customHeight="1" spans="1:8">
      <c r="A12" s="2">
        <v>17</v>
      </c>
      <c r="B12" s="2" t="s">
        <v>26</v>
      </c>
      <c r="C12" s="2" t="s">
        <v>15</v>
      </c>
      <c r="D12" s="2" t="s">
        <v>114</v>
      </c>
      <c r="E12" s="3">
        <v>36.8</v>
      </c>
      <c r="F12" s="2" t="s">
        <v>134</v>
      </c>
      <c r="G12" s="4" t="str">
        <f>VLOOKUP(B12,学生档案!$A$2:$D$36,3,0)</f>
        <v>1804120068</v>
      </c>
      <c r="H12" s="14" t="str">
        <f>VLOOKUP(B12,学生档案!$A$2:$D$36,4,0)</f>
        <v>131223200202230116</v>
      </c>
    </row>
    <row r="13" ht="30" customHeight="1" spans="1:8">
      <c r="A13" s="2">
        <v>18</v>
      </c>
      <c r="B13" s="2" t="s">
        <v>27</v>
      </c>
      <c r="C13" s="2" t="s">
        <v>9</v>
      </c>
      <c r="D13" s="2" t="s">
        <v>54</v>
      </c>
      <c r="E13" s="3">
        <v>38.1</v>
      </c>
      <c r="F13" s="2" t="s">
        <v>135</v>
      </c>
      <c r="G13" s="4" t="str">
        <f>VLOOKUP(B13,学生档案!$A$2:$D$36,3,0)</f>
        <v>1801120001</v>
      </c>
      <c r="H13" s="14" t="str">
        <f>VLOOKUP(B13,学生档案!$A$2:$D$36,4,0)</f>
        <v>130111200102265029</v>
      </c>
    </row>
    <row r="14" ht="30" customHeight="1" spans="1:8">
      <c r="A14" s="2">
        <v>21</v>
      </c>
      <c r="B14" s="2" t="s">
        <v>30</v>
      </c>
      <c r="C14" s="2" t="s">
        <v>9</v>
      </c>
      <c r="D14" s="2" t="s">
        <v>54</v>
      </c>
      <c r="E14" s="3">
        <v>37.4</v>
      </c>
      <c r="F14" s="2" t="s">
        <v>135</v>
      </c>
      <c r="G14" s="4" t="str">
        <f>VLOOKUP(B14,学生档案!$A$2:$D$36,3,0)</f>
        <v>1801120009</v>
      </c>
      <c r="H14" s="14" t="str">
        <f>VLOOKUP(B14,学生档案!$A$2:$D$36,4,0)</f>
        <v>131022200002090024</v>
      </c>
    </row>
    <row r="15" ht="30" customHeight="1" spans="1:8">
      <c r="A15" s="2">
        <v>24</v>
      </c>
      <c r="B15" s="2" t="s">
        <v>33</v>
      </c>
      <c r="C15" s="2" t="s">
        <v>15</v>
      </c>
      <c r="D15" s="2" t="s">
        <v>68</v>
      </c>
      <c r="E15" s="3">
        <v>36.8</v>
      </c>
      <c r="F15" s="2" t="s">
        <v>134</v>
      </c>
      <c r="G15" s="4" t="str">
        <f>VLOOKUP(B15,学生档案!$A$2:$D$36,3,0)</f>
        <v>1801130069</v>
      </c>
      <c r="H15" s="14" t="str">
        <f>VLOOKUP(B15,学生档案!$A$2:$D$36,4,0)</f>
        <v>130826200105199218</v>
      </c>
    </row>
    <row r="16" ht="30" customHeight="1" spans="1:8">
      <c r="A16" s="2">
        <v>25</v>
      </c>
      <c r="B16" s="2" t="s">
        <v>34</v>
      </c>
      <c r="C16" s="2" t="s">
        <v>15</v>
      </c>
      <c r="D16" s="2" t="s">
        <v>68</v>
      </c>
      <c r="E16" s="3">
        <v>37.7</v>
      </c>
      <c r="F16" s="2" t="s">
        <v>135</v>
      </c>
      <c r="G16" s="4" t="str">
        <f>VLOOKUP(B16,学生档案!$A$2:$D$36,3,0)</f>
        <v>1801130071</v>
      </c>
      <c r="H16" s="14" t="str">
        <f>VLOOKUP(B16,学生档案!$A$2:$D$36,4,0)</f>
        <v>130827200107242714</v>
      </c>
    </row>
    <row r="17" ht="30" customHeight="1" spans="1:8">
      <c r="A17" s="2">
        <v>26</v>
      </c>
      <c r="B17" s="2" t="s">
        <v>35</v>
      </c>
      <c r="C17" s="2" t="s">
        <v>9</v>
      </c>
      <c r="D17" s="2" t="s">
        <v>92</v>
      </c>
      <c r="E17" s="3">
        <v>38.1</v>
      </c>
      <c r="F17" s="2" t="s">
        <v>135</v>
      </c>
      <c r="G17" s="4" t="str">
        <f>VLOOKUP(B17,学生档案!$A$2:$D$36,3,0)</f>
        <v>1801140235</v>
      </c>
      <c r="H17" s="14" t="str">
        <f>VLOOKUP(B17,学生档案!$A$2:$D$36,4,0)</f>
        <v>13242520011231242X</v>
      </c>
    </row>
    <row r="18" ht="30" customHeight="1" spans="1:8">
      <c r="A18" s="2">
        <v>27</v>
      </c>
      <c r="B18" s="2" t="s">
        <v>36</v>
      </c>
      <c r="C18" s="2" t="s">
        <v>9</v>
      </c>
      <c r="D18" s="2" t="s">
        <v>92</v>
      </c>
      <c r="E18" s="3">
        <v>36.9</v>
      </c>
      <c r="F18" s="2" t="s">
        <v>134</v>
      </c>
      <c r="G18" s="4" t="str">
        <f>VLOOKUP(B18,学生档案!$A$2:$D$36,3,0)</f>
        <v>1801140237</v>
      </c>
      <c r="H18" s="14" t="str">
        <f>VLOOKUP(B18,学生档案!$A$2:$D$36,4,0)</f>
        <v>132425200004192421</v>
      </c>
    </row>
    <row r="19" ht="30" customHeight="1" spans="1:8">
      <c r="A19" s="2">
        <v>29</v>
      </c>
      <c r="B19" s="2" t="s">
        <v>38</v>
      </c>
      <c r="C19" s="2" t="s">
        <v>9</v>
      </c>
      <c r="D19" s="2" t="s">
        <v>85</v>
      </c>
      <c r="E19" s="3">
        <v>37.1</v>
      </c>
      <c r="F19" s="2" t="s">
        <v>134</v>
      </c>
      <c r="G19" s="4" t="str">
        <f>VLOOKUP(B19,学生档案!$A$2:$D$36,3,0)</f>
        <v>1801140087</v>
      </c>
      <c r="H19" s="14" t="str">
        <f>VLOOKUP(B19,学生档案!$A$2:$D$36,4,0)</f>
        <v>130521200012254029</v>
      </c>
    </row>
    <row r="20" ht="30" customHeight="1" spans="1:8">
      <c r="A20" s="2">
        <v>30</v>
      </c>
      <c r="B20" s="2" t="s">
        <v>39</v>
      </c>
      <c r="C20" s="2" t="s">
        <v>9</v>
      </c>
      <c r="D20" s="2" t="s">
        <v>99</v>
      </c>
      <c r="E20" s="3">
        <v>37.2</v>
      </c>
      <c r="F20" s="2" t="s">
        <v>135</v>
      </c>
      <c r="G20" s="4" t="str">
        <f>VLOOKUP(B20,学生档案!$A$2:$D$36,3,0)</f>
        <v>1801160013</v>
      </c>
      <c r="H20" s="14" t="str">
        <f>VLOOKUP(B20,学生档案!$A$2:$D$36,4,0)</f>
        <v>130223200103010846</v>
      </c>
    </row>
  </sheetData>
  <pageMargins left="0.7" right="0.7" top="0.75" bottom="0.75" header="0.3" footer="0.3"/>
  <pageSetup paperSize="9" orientation="landscape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学生体温检测</vt:lpstr>
      <vt:lpstr>学生档案</vt:lpstr>
      <vt:lpstr>体温异常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+_+</cp:lastModifiedBy>
  <dcterms:created xsi:type="dcterms:W3CDTF">2015-06-05T18:19:00Z</dcterms:created>
  <dcterms:modified xsi:type="dcterms:W3CDTF">2024-08-21T08:14:32Z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85A65856CD2B40CF977D7D21EC8E8E34_12</vt:lpwstr>
  </property>
  <property fmtid="{D5CDD505-2E9C-101B-9397-08002B2CF9AE}" pid="3" name="KSOProductBuildVer">
    <vt:lpwstr>2052-12.1.0.17147</vt:lpwstr>
  </property>
</Properties>
</file>