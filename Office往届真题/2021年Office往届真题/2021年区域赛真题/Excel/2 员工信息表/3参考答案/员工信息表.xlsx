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5" windowHeight="12255"/>
  </bookViews>
  <sheets>
    <sheet name="员工信息表" sheetId="1" r:id="rId1"/>
    <sheet name="姓名参照表" sheetId="4" r:id="rId2"/>
    <sheet name="员工详情表" sheetId="5" r:id="rId3"/>
  </sheets>
  <definedNames>
    <definedName name="_xlnm.Print_Area" localSheetId="0">员工信息表!$A$1:$K$21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<sst xmlns="http://schemas.openxmlformats.org/spreadsheetml/2006/main" count="254" uniqueCount="57">
  <si>
    <t>工号</t>
  </si>
  <si>
    <t>入职时间</t>
  </si>
  <si>
    <t>姓名</t>
  </si>
  <si>
    <t>性别</t>
  </si>
  <si>
    <t>部门名称</t>
  </si>
  <si>
    <t>岗位</t>
  </si>
  <si>
    <t>出生年月</t>
  </si>
  <si>
    <t>最高学历</t>
  </si>
  <si>
    <t>联系电话</t>
  </si>
  <si>
    <t>工资</t>
  </si>
  <si>
    <t>当前状态</t>
  </si>
  <si>
    <t>女</t>
  </si>
  <si>
    <t>财务部</t>
  </si>
  <si>
    <t>财务专员</t>
  </si>
  <si>
    <t>本科</t>
  </si>
  <si>
    <t>离职</t>
  </si>
  <si>
    <t>统计表1</t>
  </si>
  <si>
    <t>财务主管</t>
  </si>
  <si>
    <t>研究生</t>
  </si>
  <si>
    <t>在职</t>
  </si>
  <si>
    <t>平均工资</t>
  </si>
  <si>
    <t>男</t>
  </si>
  <si>
    <t>人事部</t>
  </si>
  <si>
    <t>人事主管</t>
  </si>
  <si>
    <t>研发专员</t>
  </si>
  <si>
    <t>人事专员</t>
  </si>
  <si>
    <t>大专</t>
  </si>
  <si>
    <t>市场专员</t>
  </si>
  <si>
    <t>行政专员</t>
  </si>
  <si>
    <t>市场部</t>
  </si>
  <si>
    <t>汇总信息</t>
  </si>
  <si>
    <t>员工总数</t>
  </si>
  <si>
    <t>工资总额</t>
  </si>
  <si>
    <t>平均薪资</t>
  </si>
  <si>
    <t>市场经理</t>
  </si>
  <si>
    <t>研发部</t>
  </si>
  <si>
    <t>研发主管</t>
  </si>
  <si>
    <t>李新</t>
  </si>
  <si>
    <t>王文辉</t>
  </si>
  <si>
    <t>郝心怡</t>
  </si>
  <si>
    <t>张磊</t>
  </si>
  <si>
    <t>孙英</t>
  </si>
  <si>
    <t>王春晓</t>
  </si>
  <si>
    <t>王力</t>
  </si>
  <si>
    <t>张在旭</t>
  </si>
  <si>
    <t>姚林</t>
  </si>
  <si>
    <t>金翔</t>
  </si>
  <si>
    <t>张雨涵</t>
  </si>
  <si>
    <t>李英娜</t>
  </si>
  <si>
    <t>朱灿灿</t>
  </si>
  <si>
    <t>陈万万</t>
  </si>
  <si>
    <t>钱民</t>
  </si>
  <si>
    <t>高晓东</t>
  </si>
  <si>
    <t>张平</t>
  </si>
  <si>
    <t>陈松</t>
  </si>
  <si>
    <t>黄立</t>
  </si>
  <si>
    <t>扬海东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</si>
</sst>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176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Border="1">
      <alignment vertical="center"/>
    </xf>
    <xf numFmtId="176" fontId="1" fillId="0" borderId="6" xfId="0" applyNumberFormat="1" applyFont="1" applyBorder="1">
      <alignment vertical="center"/>
    </xf>
    <xf numFmtId="0" fontId="1" fillId="0" borderId="6" xfId="0" applyFont="1" applyBorder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3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4" fillId="0" borderId="0" xfId="0" applyFont="1" applyBorder="1">
      <alignment vertical="center"/>
    </xf>
    <xf numFmtId="177" fontId="1" fillId="0" borderId="0" xfId="0" applyNumberFormat="1" applyFont="1" applyBorder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1" fillId="0" borderId="9" xfId="0" applyFont="1" applyBorder="1">
      <alignment vertical="center"/>
    </xf>
    <xf numFmtId="0" fontId="6" fillId="0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10" xfId="0" applyFont="1" applyBorder="1">
      <alignment vertical="center"/>
    </xf>
    <xf numFmtId="177" fontId="1" fillId="0" borderId="10" xfId="0" applyNumberFormat="1" applyFont="1" applyBorder="1">
      <alignment vertical="center"/>
    </xf>
    <xf numFmtId="0" fontId="3" fillId="0" borderId="0" xfId="0" applyFont="1" applyFill="1">
      <alignment vertical="center"/>
    </xf>
    <xf numFmtId="0" fontId="4" fillId="0" borderId="10" xfId="0" applyFont="1" applyFill="1" applyBorder="1">
      <alignment vertical="center"/>
    </xf>
    <xf numFmtId="0" fontId="1" fillId="0" borderId="1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1"/>
        <i val="0"/>
        <color rgb="FF7030A0"/>
      </font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numFmt numFmtId="176" formatCode="yyyy&quot;年&quot;m&quot;月&quot;d&quot;日&quot;;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numFmt numFmtId="176" formatCode="yyyy&quot;年&quot;m&quot;月&quot;d&quot;日&quot;;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numFmt numFmtId="176" formatCode="yyyy&quot;年&quot;m&quot;月&quot;d&quot;日&quot;;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K21" totalsRowShown="0">
  <autoFilter ref="A1:K21">
    <filterColumn colId="5">
      <customFilters>
        <customFilter operator="equal" val="市场专员"/>
        <customFilter operator="equal" val="研发专员"/>
      </customFilters>
    </filterColumn>
    <filterColumn colId="10">
      <customFilters>
        <customFilter operator="equal" val="在职"/>
      </customFilters>
    </filterColumn>
  </autoFilter>
  <tableColumns count="11">
    <tableColumn id="1" name="工号" dataDxfId="3"/>
    <tableColumn id="2" name="入职时间" dataDxfId="4"/>
    <tableColumn id="3" name="姓名" dataDxfId="5">
      <calculatedColumnFormula>VLOOKUP(A2,姓名参照表!$A$2:$B$21,2,0)</calculatedColumnFormula>
    </tableColumn>
    <tableColumn id="4" name="性别" dataDxfId="6"/>
    <tableColumn id="5" name="部门名称" dataDxfId="7"/>
    <tableColumn id="6" name="岗位" dataDxfId="8"/>
    <tableColumn id="7" name="出生年月" dataDxfId="9"/>
    <tableColumn id="8" name="最高学历" dataDxfId="10"/>
    <tableColumn id="9" name="联系电话" dataDxfId="11"/>
    <tableColumn id="10" name="工资" dataDxfId="12"/>
    <tableColumn id="11" name="当前状态" dataDxfId="1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A1" sqref="A1"/>
    </sheetView>
  </sheetViews>
  <sheetFormatPr defaultColWidth="9" defaultRowHeight="16.5"/>
  <cols>
    <col min="1" max="1" width="9" style="2"/>
    <col min="2" max="2" width="13.625" style="2"/>
    <col min="3" max="4" width="9" style="2"/>
    <col min="5" max="5" width="17.125" style="2" customWidth="1"/>
    <col min="6" max="6" width="9" style="2"/>
    <col min="7" max="7" width="13.625" style="2"/>
    <col min="8" max="8" width="10.5" style="2" customWidth="1"/>
    <col min="9" max="9" width="16" style="2" hidden="1" customWidth="1"/>
    <col min="10" max="10" width="14.125" style="2"/>
    <col min="11" max="12" width="9" style="2"/>
    <col min="13" max="13" width="11.375" style="2" customWidth="1"/>
    <col min="14" max="14" width="9.875" style="2" customWidth="1"/>
    <col min="15" max="16384" width="9" style="2"/>
  </cols>
  <sheetData>
    <row r="1" ht="20.1" customHeight="1" spans="1:1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4">
      <c r="A2" s="7">
        <v>21003</v>
      </c>
      <c r="B2" s="6">
        <v>43988</v>
      </c>
      <c r="C2" s="6" t="str">
        <f>VLOOKUP(A2,姓名参照表!$A$2:$B$21,2,0)</f>
        <v>郝心怡</v>
      </c>
      <c r="D2" s="7" t="s">
        <v>11</v>
      </c>
      <c r="E2" s="7" t="s">
        <v>12</v>
      </c>
      <c r="F2" s="7" t="s">
        <v>13</v>
      </c>
      <c r="G2" s="6">
        <v>34767</v>
      </c>
      <c r="H2" s="7" t="s">
        <v>14</v>
      </c>
      <c r="I2" s="7">
        <v>18225823452</v>
      </c>
      <c r="J2" s="7">
        <v>6500</v>
      </c>
      <c r="K2" s="7" t="s">
        <v>15</v>
      </c>
      <c r="M2" s="17" t="s">
        <v>16</v>
      </c>
      <c r="N2" s="18"/>
    </row>
    <row r="3" spans="1:14">
      <c r="A3" s="7">
        <v>21001</v>
      </c>
      <c r="B3" s="6">
        <v>43988</v>
      </c>
      <c r="C3" s="6" t="str">
        <f>VLOOKUP(A3,姓名参照表!$A$2:$B$21,2,0)</f>
        <v>张雨涵</v>
      </c>
      <c r="D3" s="7" t="s">
        <v>11</v>
      </c>
      <c r="E3" s="7" t="s">
        <v>12</v>
      </c>
      <c r="F3" s="7" t="s">
        <v>17</v>
      </c>
      <c r="G3" s="6">
        <v>32757</v>
      </c>
      <c r="H3" s="8" t="s">
        <v>18</v>
      </c>
      <c r="I3" s="7">
        <v>18123723456</v>
      </c>
      <c r="J3" s="7">
        <v>16000</v>
      </c>
      <c r="K3" s="7" t="s">
        <v>19</v>
      </c>
      <c r="M3" s="27" t="s">
        <v>5</v>
      </c>
      <c r="N3" s="27" t="s">
        <v>20</v>
      </c>
    </row>
    <row r="4" spans="1:14">
      <c r="A4" s="7">
        <v>21007</v>
      </c>
      <c r="B4" s="6">
        <v>43926</v>
      </c>
      <c r="C4" s="6" t="str">
        <f>VLOOKUP(A4,姓名参照表!$A$2:$B$21,2,0)</f>
        <v>张在旭</v>
      </c>
      <c r="D4" s="7" t="s">
        <v>21</v>
      </c>
      <c r="E4" s="7" t="s">
        <v>22</v>
      </c>
      <c r="F4" s="7" t="s">
        <v>23</v>
      </c>
      <c r="G4" s="6">
        <v>35309</v>
      </c>
      <c r="H4" s="7" t="s">
        <v>14</v>
      </c>
      <c r="I4" s="7">
        <v>18178945623</v>
      </c>
      <c r="J4" s="7">
        <v>9000</v>
      </c>
      <c r="K4" s="7" t="s">
        <v>19</v>
      </c>
      <c r="M4" s="27" t="s">
        <v>24</v>
      </c>
      <c r="N4" s="28">
        <f>AVERAGEIF($F$2:$F$21,M4,$J$2:$J$21)</f>
        <v>14375</v>
      </c>
    </row>
    <row r="5" spans="1:14">
      <c r="A5" s="7">
        <v>21020</v>
      </c>
      <c r="B5" s="6">
        <v>43929</v>
      </c>
      <c r="C5" s="6" t="str">
        <f>VLOOKUP(A5,姓名参照表!$A$2:$B$21,2,0)</f>
        <v>姚林</v>
      </c>
      <c r="D5" s="7" t="s">
        <v>11</v>
      </c>
      <c r="E5" s="7" t="s">
        <v>22</v>
      </c>
      <c r="F5" s="7" t="s">
        <v>25</v>
      </c>
      <c r="G5" s="6">
        <v>34912</v>
      </c>
      <c r="H5" s="7" t="s">
        <v>26</v>
      </c>
      <c r="I5" s="7">
        <v>18654342365</v>
      </c>
      <c r="J5" s="7">
        <v>5500</v>
      </c>
      <c r="K5" s="7" t="s">
        <v>19</v>
      </c>
      <c r="M5" s="27" t="s">
        <v>27</v>
      </c>
      <c r="N5" s="28">
        <f t="shared" ref="N5:N6" si="0">AVERAGEIF($F$2:$F$21,M5,$J$2:$J$21)</f>
        <v>5625</v>
      </c>
    </row>
    <row r="6" spans="1:14">
      <c r="A6" s="7">
        <v>21019</v>
      </c>
      <c r="B6" s="6">
        <v>43929</v>
      </c>
      <c r="C6" s="6" t="str">
        <f>VLOOKUP(A6,姓名参照表!$A$2:$B$21,2,0)</f>
        <v>孙英</v>
      </c>
      <c r="D6" s="7" t="s">
        <v>11</v>
      </c>
      <c r="E6" s="7" t="s">
        <v>22</v>
      </c>
      <c r="F6" s="7" t="s">
        <v>28</v>
      </c>
      <c r="G6" s="6">
        <v>34159</v>
      </c>
      <c r="H6" s="7" t="s">
        <v>26</v>
      </c>
      <c r="I6" s="7">
        <v>18734236543</v>
      </c>
      <c r="J6" s="7">
        <v>5500</v>
      </c>
      <c r="K6" s="7" t="s">
        <v>19</v>
      </c>
      <c r="M6" s="27" t="s">
        <v>28</v>
      </c>
      <c r="N6" s="28">
        <f t="shared" si="0"/>
        <v>5500</v>
      </c>
    </row>
    <row r="7" spans="1:11">
      <c r="A7" s="7">
        <v>21011</v>
      </c>
      <c r="B7" s="6">
        <v>43957</v>
      </c>
      <c r="C7" s="6" t="str">
        <f>VLOOKUP(A7,姓名参照表!$A$2:$B$21,2,0)</f>
        <v>王春晓</v>
      </c>
      <c r="D7" s="7" t="s">
        <v>11</v>
      </c>
      <c r="E7" s="7" t="s">
        <v>22</v>
      </c>
      <c r="F7" s="7" t="s">
        <v>28</v>
      </c>
      <c r="G7" s="6">
        <v>33027</v>
      </c>
      <c r="H7" s="7" t="s">
        <v>14</v>
      </c>
      <c r="I7" s="7">
        <v>15823452312</v>
      </c>
      <c r="J7" s="7">
        <v>5500</v>
      </c>
      <c r="K7" s="7" t="s">
        <v>19</v>
      </c>
    </row>
    <row r="8" spans="1:13">
      <c r="A8" s="7">
        <v>21002</v>
      </c>
      <c r="B8" s="6">
        <v>43988</v>
      </c>
      <c r="C8" s="6" t="str">
        <f>VLOOKUP(A8,姓名参照表!$A$2:$B$21,2,0)</f>
        <v>张磊</v>
      </c>
      <c r="D8" s="7" t="s">
        <v>21</v>
      </c>
      <c r="E8" s="7" t="s">
        <v>29</v>
      </c>
      <c r="F8" s="7" t="s">
        <v>27</v>
      </c>
      <c r="G8" s="6">
        <v>35559</v>
      </c>
      <c r="H8" s="7" t="s">
        <v>26</v>
      </c>
      <c r="I8" s="7">
        <v>15623789432</v>
      </c>
      <c r="J8" s="7">
        <v>6000</v>
      </c>
      <c r="K8" s="7" t="s">
        <v>19</v>
      </c>
      <c r="M8" s="29" t="s">
        <v>30</v>
      </c>
    </row>
    <row r="9" spans="1:14">
      <c r="A9" s="7">
        <v>21017</v>
      </c>
      <c r="B9" s="6">
        <v>43929</v>
      </c>
      <c r="C9" s="6" t="str">
        <f>VLOOKUP(A9,姓名参照表!$A$2:$B$21,2,0)</f>
        <v>张平</v>
      </c>
      <c r="D9" s="7" t="s">
        <v>21</v>
      </c>
      <c r="E9" s="7" t="s">
        <v>29</v>
      </c>
      <c r="F9" s="7" t="s">
        <v>27</v>
      </c>
      <c r="G9" s="6">
        <v>34919</v>
      </c>
      <c r="H9" s="7" t="s">
        <v>14</v>
      </c>
      <c r="I9" s="7">
        <v>18923457687</v>
      </c>
      <c r="J9" s="7">
        <v>5000</v>
      </c>
      <c r="K9" s="7" t="s">
        <v>19</v>
      </c>
      <c r="M9" s="30" t="s">
        <v>31</v>
      </c>
      <c r="N9" s="31">
        <f>COUNT(A2:A21)</f>
        <v>20</v>
      </c>
    </row>
    <row r="10" spans="1:14">
      <c r="A10" s="7">
        <v>21012</v>
      </c>
      <c r="B10" s="6">
        <v>43957</v>
      </c>
      <c r="C10" s="6" t="str">
        <f>VLOOKUP(A10,姓名参照表!$A$2:$B$21,2,0)</f>
        <v>钱民</v>
      </c>
      <c r="D10" s="7" t="s">
        <v>21</v>
      </c>
      <c r="E10" s="7" t="s">
        <v>29</v>
      </c>
      <c r="F10" s="7" t="s">
        <v>27</v>
      </c>
      <c r="G10" s="6">
        <v>34425</v>
      </c>
      <c r="H10" s="7" t="s">
        <v>14</v>
      </c>
      <c r="I10" s="7">
        <v>18123217534</v>
      </c>
      <c r="J10" s="7">
        <v>6000</v>
      </c>
      <c r="K10" s="7" t="s">
        <v>19</v>
      </c>
      <c r="M10" s="30" t="s">
        <v>32</v>
      </c>
      <c r="N10" s="31">
        <f>SUM(J2:J21)</f>
        <v>221500</v>
      </c>
    </row>
    <row r="11" spans="1:14">
      <c r="A11" s="7">
        <v>21006</v>
      </c>
      <c r="B11" s="6">
        <v>43924</v>
      </c>
      <c r="C11" s="6" t="str">
        <f>VLOOKUP(A11,姓名参照表!$A$2:$B$21,2,0)</f>
        <v>陈万万</v>
      </c>
      <c r="D11" s="7" t="s">
        <v>11</v>
      </c>
      <c r="E11" s="7" t="s">
        <v>29</v>
      </c>
      <c r="F11" s="7" t="s">
        <v>27</v>
      </c>
      <c r="G11" s="6">
        <v>34394</v>
      </c>
      <c r="H11" s="7" t="s">
        <v>26</v>
      </c>
      <c r="I11" s="7">
        <v>15623457834</v>
      </c>
      <c r="J11" s="7">
        <v>5500</v>
      </c>
      <c r="K11" s="7" t="s">
        <v>15</v>
      </c>
      <c r="M11" s="30" t="s">
        <v>33</v>
      </c>
      <c r="N11" s="31">
        <f>AVERAGE(J2:J21)</f>
        <v>11075</v>
      </c>
    </row>
    <row r="12" spans="1:11">
      <c r="A12" s="7">
        <v>21010</v>
      </c>
      <c r="B12" s="6">
        <v>43927</v>
      </c>
      <c r="C12" s="6" t="str">
        <f>VLOOKUP(A12,姓名参照表!$A$2:$B$21,2,0)</f>
        <v>李英娜</v>
      </c>
      <c r="D12" s="7" t="s">
        <v>11</v>
      </c>
      <c r="E12" s="7" t="s">
        <v>29</v>
      </c>
      <c r="F12" s="7" t="s">
        <v>34</v>
      </c>
      <c r="G12" s="6">
        <v>33086</v>
      </c>
      <c r="H12" s="7" t="s">
        <v>14</v>
      </c>
      <c r="I12" s="7">
        <v>15345673423</v>
      </c>
      <c r="J12" s="7">
        <v>16000</v>
      </c>
      <c r="K12" s="7" t="s">
        <v>19</v>
      </c>
    </row>
    <row r="13" spans="1:11">
      <c r="A13" s="7">
        <v>21013</v>
      </c>
      <c r="B13" s="6">
        <v>43957</v>
      </c>
      <c r="C13" s="6" t="str">
        <f>VLOOKUP(A13,姓名参照表!$A$2:$B$21,2,0)</f>
        <v>王力</v>
      </c>
      <c r="D13" s="7" t="s">
        <v>21</v>
      </c>
      <c r="E13" s="7" t="s">
        <v>35</v>
      </c>
      <c r="F13" s="7" t="s">
        <v>24</v>
      </c>
      <c r="G13" s="6">
        <v>35827</v>
      </c>
      <c r="H13" s="7" t="s">
        <v>14</v>
      </c>
      <c r="I13" s="7">
        <v>18923868934</v>
      </c>
      <c r="J13" s="7">
        <v>9000</v>
      </c>
      <c r="K13" s="7" t="s">
        <v>19</v>
      </c>
    </row>
    <row r="14" spans="1:11">
      <c r="A14" s="7">
        <v>21016</v>
      </c>
      <c r="B14" s="6">
        <v>43957</v>
      </c>
      <c r="C14" s="6" t="str">
        <f>VLOOKUP(A14,姓名参照表!$A$2:$B$21,2,0)</f>
        <v>朱灿灿</v>
      </c>
      <c r="D14" s="7" t="s">
        <v>11</v>
      </c>
      <c r="E14" s="7" t="s">
        <v>35</v>
      </c>
      <c r="F14" s="7" t="s">
        <v>24</v>
      </c>
      <c r="G14" s="6">
        <v>35247</v>
      </c>
      <c r="H14" s="7" t="s">
        <v>14</v>
      </c>
      <c r="I14" s="7">
        <v>15612874378</v>
      </c>
      <c r="J14" s="7">
        <v>10000</v>
      </c>
      <c r="K14" s="7" t="s">
        <v>19</v>
      </c>
    </row>
    <row r="15" spans="1:11">
      <c r="A15" s="7">
        <v>21014</v>
      </c>
      <c r="B15" s="6">
        <v>43957</v>
      </c>
      <c r="C15" s="6" t="str">
        <f>VLOOKUP(A15,姓名参照表!$A$2:$B$21,2,0)</f>
        <v>陈松</v>
      </c>
      <c r="D15" s="7" t="s">
        <v>21</v>
      </c>
      <c r="E15" s="7" t="s">
        <v>35</v>
      </c>
      <c r="F15" s="7" t="s">
        <v>24</v>
      </c>
      <c r="G15" s="6">
        <v>34919</v>
      </c>
      <c r="H15" s="7" t="s">
        <v>26</v>
      </c>
      <c r="I15" s="7">
        <v>18945456723</v>
      </c>
      <c r="J15" s="7">
        <v>16000</v>
      </c>
      <c r="K15" s="7" t="s">
        <v>19</v>
      </c>
    </row>
    <row r="16" spans="1:11">
      <c r="A16" s="7">
        <v>21005</v>
      </c>
      <c r="B16" s="6">
        <v>43924</v>
      </c>
      <c r="C16" s="6" t="str">
        <f>VLOOKUP(A16,姓名参照表!$A$2:$B$21,2,0)</f>
        <v>高晓东</v>
      </c>
      <c r="D16" s="7" t="s">
        <v>21</v>
      </c>
      <c r="E16" s="7" t="s">
        <v>35</v>
      </c>
      <c r="F16" s="7" t="s">
        <v>24</v>
      </c>
      <c r="G16" s="6">
        <v>34851</v>
      </c>
      <c r="H16" s="7" t="s">
        <v>14</v>
      </c>
      <c r="I16" s="7">
        <v>18623125623</v>
      </c>
      <c r="J16" s="7">
        <v>16000</v>
      </c>
      <c r="K16" s="7" t="s">
        <v>15</v>
      </c>
    </row>
    <row r="17" spans="1:11">
      <c r="A17" s="7">
        <v>21018</v>
      </c>
      <c r="B17" s="6">
        <v>43929</v>
      </c>
      <c r="C17" s="6" t="str">
        <f>VLOOKUP(A17,姓名参照表!$A$2:$B$21,2,0)</f>
        <v>扬海东</v>
      </c>
      <c r="D17" s="7" t="s">
        <v>21</v>
      </c>
      <c r="E17" s="7" t="s">
        <v>35</v>
      </c>
      <c r="F17" s="7" t="s">
        <v>24</v>
      </c>
      <c r="G17" s="6">
        <v>34182</v>
      </c>
      <c r="H17" s="7" t="s">
        <v>14</v>
      </c>
      <c r="I17" s="7">
        <v>18987347654</v>
      </c>
      <c r="J17" s="7">
        <v>16000</v>
      </c>
      <c r="K17" s="7" t="s">
        <v>19</v>
      </c>
    </row>
    <row r="18" spans="1:11">
      <c r="A18" s="7">
        <v>21004</v>
      </c>
      <c r="B18" s="6">
        <v>43988</v>
      </c>
      <c r="C18" s="6" t="str">
        <f>VLOOKUP(A18,姓名参照表!$A$2:$B$21,2,0)</f>
        <v>金翔</v>
      </c>
      <c r="D18" s="7" t="s">
        <v>21</v>
      </c>
      <c r="E18" s="7" t="s">
        <v>35</v>
      </c>
      <c r="F18" s="7" t="s">
        <v>24</v>
      </c>
      <c r="G18" s="6">
        <v>34121</v>
      </c>
      <c r="H18" s="7" t="s">
        <v>14</v>
      </c>
      <c r="I18" s="7">
        <v>18627853445</v>
      </c>
      <c r="J18" s="7">
        <v>16000</v>
      </c>
      <c r="K18" s="7" t="s">
        <v>19</v>
      </c>
    </row>
    <row r="19" spans="1:11">
      <c r="A19" s="7">
        <v>21015</v>
      </c>
      <c r="B19" s="6">
        <v>43957</v>
      </c>
      <c r="C19" s="6" t="str">
        <f>VLOOKUP(A19,姓名参照表!$A$2:$B$21,2,0)</f>
        <v>黄立</v>
      </c>
      <c r="D19" s="7" t="s">
        <v>21</v>
      </c>
      <c r="E19" s="7" t="s">
        <v>35</v>
      </c>
      <c r="F19" s="7" t="s">
        <v>24</v>
      </c>
      <c r="G19" s="6">
        <v>33853</v>
      </c>
      <c r="H19" s="7" t="s">
        <v>14</v>
      </c>
      <c r="I19" s="7">
        <v>18523879865</v>
      </c>
      <c r="J19" s="7">
        <v>16000</v>
      </c>
      <c r="K19" s="7" t="s">
        <v>15</v>
      </c>
    </row>
    <row r="20" spans="1:11">
      <c r="A20" s="7">
        <v>21009</v>
      </c>
      <c r="B20" s="6">
        <v>43927</v>
      </c>
      <c r="C20" s="6" t="str">
        <f>VLOOKUP(A20,姓名参照表!$A$2:$B$21,2,0)</f>
        <v>王文辉</v>
      </c>
      <c r="D20" s="7" t="s">
        <v>21</v>
      </c>
      <c r="E20" s="7" t="s">
        <v>35</v>
      </c>
      <c r="F20" s="7" t="s">
        <v>24</v>
      </c>
      <c r="G20" s="6">
        <v>33482</v>
      </c>
      <c r="H20" s="7" t="s">
        <v>18</v>
      </c>
      <c r="I20" s="7">
        <v>18756431298</v>
      </c>
      <c r="J20" s="7">
        <v>16000</v>
      </c>
      <c r="K20" s="7" t="s">
        <v>19</v>
      </c>
    </row>
    <row r="21" spans="1:11">
      <c r="A21" s="7">
        <v>21008</v>
      </c>
      <c r="B21" s="6">
        <v>43927</v>
      </c>
      <c r="C21" s="6" t="str">
        <f>VLOOKUP(A21,姓名参照表!$A$2:$B$21,2,0)</f>
        <v>李新</v>
      </c>
      <c r="D21" s="7" t="s">
        <v>21</v>
      </c>
      <c r="E21" s="7" t="s">
        <v>35</v>
      </c>
      <c r="F21" s="7" t="s">
        <v>36</v>
      </c>
      <c r="G21" s="6">
        <v>31079</v>
      </c>
      <c r="H21" s="7" t="s">
        <v>14</v>
      </c>
      <c r="I21" s="7">
        <v>18623452323</v>
      </c>
      <c r="J21" s="7">
        <v>20000</v>
      </c>
      <c r="K21" s="7" t="s">
        <v>19</v>
      </c>
    </row>
    <row r="22" ht="13.5" spans="1:11">
      <c r="A22"/>
      <c r="B22"/>
      <c r="C22"/>
      <c r="D22"/>
      <c r="E22"/>
      <c r="F22"/>
      <c r="G22"/>
      <c r="H22"/>
      <c r="I22"/>
      <c r="J22"/>
      <c r="K22"/>
    </row>
    <row r="23" ht="13.5" spans="1:11">
      <c r="A23"/>
      <c r="B23"/>
      <c r="C23"/>
      <c r="D23"/>
      <c r="E23"/>
      <c r="F23"/>
      <c r="G23"/>
      <c r="H23"/>
      <c r="I23"/>
      <c r="J23"/>
      <c r="K23"/>
    </row>
    <row r="24" ht="13.5" spans="1:11">
      <c r="A24"/>
      <c r="B24"/>
      <c r="C24"/>
      <c r="D24"/>
      <c r="E24"/>
      <c r="F24"/>
      <c r="G24"/>
      <c r="H24"/>
      <c r="I24"/>
      <c r="J24"/>
      <c r="K24"/>
    </row>
    <row r="25" ht="13.5" spans="1:11">
      <c r="A25"/>
      <c r="B25"/>
      <c r="C25"/>
      <c r="D25"/>
      <c r="E25"/>
      <c r="F25"/>
      <c r="G25"/>
      <c r="H25"/>
      <c r="I25"/>
      <c r="J25"/>
      <c r="K25"/>
    </row>
    <row r="26" ht="13.5" spans="1:11">
      <c r="A26"/>
      <c r="B26"/>
      <c r="C26"/>
      <c r="D26"/>
      <c r="E26"/>
      <c r="F26"/>
      <c r="G26"/>
      <c r="H26"/>
      <c r="I26"/>
      <c r="J26"/>
      <c r="K26"/>
    </row>
    <row r="27" ht="13.5" spans="1:11">
      <c r="A27"/>
      <c r="B27"/>
      <c r="C27"/>
      <c r="D27"/>
      <c r="E27"/>
      <c r="F27"/>
      <c r="G27"/>
      <c r="H27"/>
      <c r="I27"/>
      <c r="J27"/>
      <c r="K27"/>
    </row>
    <row r="28" ht="13.5" spans="1:11">
      <c r="A28"/>
      <c r="B28"/>
      <c r="C28"/>
      <c r="D28"/>
      <c r="E28"/>
      <c r="F28"/>
      <c r="G28"/>
      <c r="H28"/>
      <c r="I28"/>
      <c r="J28"/>
      <c r="K28"/>
    </row>
    <row r="29" ht="13.5" spans="1:11">
      <c r="A29"/>
      <c r="B29"/>
      <c r="C29"/>
      <c r="D29"/>
      <c r="E29"/>
      <c r="F29"/>
      <c r="G29"/>
      <c r="H29"/>
      <c r="I29"/>
      <c r="J29"/>
      <c r="K29"/>
    </row>
    <row r="30" ht="13.5" spans="1:11">
      <c r="A30"/>
      <c r="B30"/>
      <c r="C30"/>
      <c r="D30"/>
      <c r="E30"/>
      <c r="F30"/>
      <c r="G30"/>
      <c r="H30"/>
      <c r="I30"/>
      <c r="J30"/>
      <c r="K30"/>
    </row>
    <row r="31" ht="13.5" spans="1:11">
      <c r="A31"/>
      <c r="B31"/>
      <c r="C31"/>
      <c r="D31"/>
      <c r="E31"/>
      <c r="F31"/>
      <c r="G31"/>
      <c r="H31"/>
      <c r="I31"/>
      <c r="J31"/>
      <c r="K31"/>
    </row>
    <row r="32" ht="15" spans="1:1">
      <c r="A32" s="12"/>
    </row>
    <row r="33" s="1" customFormat="1" spans="1:6">
      <c r="A33" s="13"/>
      <c r="B33" s="14"/>
      <c r="C33" s="14"/>
      <c r="D33" s="14"/>
      <c r="E33" s="13"/>
      <c r="F33" s="14"/>
    </row>
  </sheetData>
  <sheetProtection formatCells="0" insertHyperlinks="0" autoFilter="0"/>
  <sortState ref="A2:K21">
    <sortCondition ref="E2:E21"/>
    <sortCondition ref="G2:G21" descending="1"/>
  </sortState>
  <conditionalFormatting sqref="J2:J21">
    <cfRule type="aboveAverage" dxfId="0" priority="3"/>
    <cfRule type="aboveAverage" dxfId="1" priority="2" aboveAverage="0"/>
  </conditionalFormatting>
  <conditionalFormatting sqref="K2:K21">
    <cfRule type="containsText" dxfId="2" priority="1" operator="between" text="离职">
      <formula>NOT(ISERROR(SEARCH("离职",K2)))</formula>
    </cfRule>
  </conditionalFormatting>
  <printOptions horizontalCentered="1"/>
  <pageMargins left="0.748031496062992" right="0.748031496062992" top="1.18110236220472" bottom="1.96850393700787" header="0.511811023622047" footer="0.511811023622047"/>
  <pageSetup paperSize="9" orientation="landscape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3.5" outlineLevelCol="1"/>
  <sheetData>
    <row r="1" ht="16.5" spans="1:2">
      <c r="A1" s="25" t="s">
        <v>0</v>
      </c>
      <c r="B1" s="25" t="s">
        <v>2</v>
      </c>
    </row>
    <row r="2" ht="16.5" spans="1:2">
      <c r="A2" s="7">
        <v>21008</v>
      </c>
      <c r="B2" s="8" t="s">
        <v>37</v>
      </c>
    </row>
    <row r="3" ht="16.5" spans="1:2">
      <c r="A3" s="7">
        <v>21009</v>
      </c>
      <c r="B3" s="7" t="s">
        <v>38</v>
      </c>
    </row>
    <row r="4" ht="16.5" spans="1:2">
      <c r="A4" s="7">
        <v>21003</v>
      </c>
      <c r="B4" s="7" t="s">
        <v>39</v>
      </c>
    </row>
    <row r="5" ht="16.5" spans="1:2">
      <c r="A5" s="7">
        <v>21002</v>
      </c>
      <c r="B5" s="7" t="s">
        <v>40</v>
      </c>
    </row>
    <row r="6" ht="16.5" spans="1:2">
      <c r="A6" s="7">
        <v>21019</v>
      </c>
      <c r="B6" s="7" t="s">
        <v>41</v>
      </c>
    </row>
    <row r="7" ht="16.5" spans="1:2">
      <c r="A7" s="7">
        <v>21011</v>
      </c>
      <c r="B7" s="7" t="s">
        <v>42</v>
      </c>
    </row>
    <row r="8" ht="16.5" spans="1:2">
      <c r="A8" s="7">
        <v>21013</v>
      </c>
      <c r="B8" s="7" t="s">
        <v>43</v>
      </c>
    </row>
    <row r="9" ht="16.5" spans="1:2">
      <c r="A9" s="7">
        <v>21007</v>
      </c>
      <c r="B9" s="7" t="s">
        <v>44</v>
      </c>
    </row>
    <row r="10" ht="16.5" spans="1:2">
      <c r="A10" s="7">
        <v>21020</v>
      </c>
      <c r="B10" s="7" t="s">
        <v>45</v>
      </c>
    </row>
    <row r="11" ht="16.5" spans="1:2">
      <c r="A11" s="7">
        <v>21004</v>
      </c>
      <c r="B11" s="7" t="s">
        <v>46</v>
      </c>
    </row>
    <row r="12" ht="16.5" spans="1:2">
      <c r="A12" s="7">
        <v>21001</v>
      </c>
      <c r="B12" s="7" t="s">
        <v>47</v>
      </c>
    </row>
    <row r="13" ht="16.5" spans="1:2">
      <c r="A13" s="7">
        <v>21010</v>
      </c>
      <c r="B13" s="7" t="s">
        <v>48</v>
      </c>
    </row>
    <row r="14" ht="16.5" spans="1:2">
      <c r="A14" s="7">
        <v>21016</v>
      </c>
      <c r="B14" s="7" t="s">
        <v>49</v>
      </c>
    </row>
    <row r="15" ht="16.5" spans="1:2">
      <c r="A15" s="7">
        <v>21006</v>
      </c>
      <c r="B15" s="7" t="s">
        <v>50</v>
      </c>
    </row>
    <row r="16" ht="16.5" spans="1:2">
      <c r="A16" s="7">
        <v>21012</v>
      </c>
      <c r="B16" s="7" t="s">
        <v>51</v>
      </c>
    </row>
    <row r="17" ht="16.5" spans="1:2">
      <c r="A17" s="7">
        <v>21005</v>
      </c>
      <c r="B17" s="7" t="s">
        <v>52</v>
      </c>
    </row>
    <row r="18" ht="16.5" spans="1:2">
      <c r="A18" s="7">
        <v>21017</v>
      </c>
      <c r="B18" s="7" t="s">
        <v>53</v>
      </c>
    </row>
    <row r="19" ht="16.5" spans="1:2">
      <c r="A19" s="7">
        <v>21014</v>
      </c>
      <c r="B19" s="7" t="s">
        <v>54</v>
      </c>
    </row>
    <row r="20" ht="16.5" spans="1:2">
      <c r="A20" s="7">
        <v>21015</v>
      </c>
      <c r="B20" s="7" t="s">
        <v>55</v>
      </c>
    </row>
    <row r="21" ht="16.5" spans="1:2">
      <c r="A21" s="7">
        <v>21018</v>
      </c>
      <c r="B21" s="7" t="s">
        <v>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A1" sqref="A1"/>
    </sheetView>
  </sheetViews>
  <sheetFormatPr defaultColWidth="9" defaultRowHeight="16.5"/>
  <cols>
    <col min="1" max="1" width="9" style="2"/>
    <col min="2" max="2" width="12.625" style="2" customWidth="1"/>
    <col min="3" max="4" width="9" style="2"/>
    <col min="5" max="5" width="17.125" style="2" customWidth="1"/>
    <col min="6" max="6" width="9" style="2"/>
    <col min="7" max="7" width="14.625" style="2" customWidth="1"/>
    <col min="8" max="8" width="10.75" style="2" customWidth="1"/>
    <col min="9" max="9" width="16" style="2" customWidth="1"/>
    <col min="10" max="10" width="9" style="2"/>
    <col min="11" max="11" width="10.75" style="2" customWidth="1"/>
    <col min="12" max="12" width="9" style="2"/>
    <col min="13" max="13" width="11.375" style="2" customWidth="1"/>
    <col min="14" max="14" width="9.875" style="2" customWidth="1"/>
    <col min="15" max="16384" width="9" style="2"/>
  </cols>
  <sheetData>
    <row r="1" ht="20.1" customHeight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5" t="s">
        <v>10</v>
      </c>
    </row>
    <row r="2" hidden="1" spans="1:14">
      <c r="A2" s="5">
        <v>21003</v>
      </c>
      <c r="B2" s="6">
        <v>43988</v>
      </c>
      <c r="C2" s="6" t="str">
        <f>VLOOKUP(A2,姓名参照表!$A$2:$B$21,2,0)</f>
        <v>郝心怡</v>
      </c>
      <c r="D2" s="7" t="s">
        <v>11</v>
      </c>
      <c r="E2" s="7" t="s">
        <v>12</v>
      </c>
      <c r="F2" s="7" t="s">
        <v>13</v>
      </c>
      <c r="G2" s="6">
        <v>34767</v>
      </c>
      <c r="H2" s="7" t="s">
        <v>14</v>
      </c>
      <c r="I2" s="7">
        <v>18225823452</v>
      </c>
      <c r="J2" s="7">
        <v>6500</v>
      </c>
      <c r="K2" s="16" t="s">
        <v>15</v>
      </c>
      <c r="M2" s="17"/>
      <c r="N2" s="18"/>
    </row>
    <row r="3" hidden="1" spans="1:14">
      <c r="A3" s="5">
        <v>21001</v>
      </c>
      <c r="B3" s="6">
        <v>43988</v>
      </c>
      <c r="C3" s="6" t="str">
        <f>VLOOKUP(A3,姓名参照表!$A$2:$B$21,2,0)</f>
        <v>张雨涵</v>
      </c>
      <c r="D3" s="7" t="s">
        <v>11</v>
      </c>
      <c r="E3" s="7" t="s">
        <v>12</v>
      </c>
      <c r="F3" s="7" t="s">
        <v>17</v>
      </c>
      <c r="G3" s="6">
        <v>32757</v>
      </c>
      <c r="H3" s="8" t="s">
        <v>18</v>
      </c>
      <c r="I3" s="7">
        <v>18123723456</v>
      </c>
      <c r="J3" s="7">
        <v>16000</v>
      </c>
      <c r="K3" s="16" t="s">
        <v>19</v>
      </c>
      <c r="M3" s="19"/>
      <c r="N3" s="19"/>
    </row>
    <row r="4" hidden="1" spans="1:14">
      <c r="A4" s="5">
        <v>21007</v>
      </c>
      <c r="B4" s="6">
        <v>43926</v>
      </c>
      <c r="C4" s="6" t="str">
        <f>VLOOKUP(A4,姓名参照表!$A$2:$B$21,2,0)</f>
        <v>张在旭</v>
      </c>
      <c r="D4" s="7" t="s">
        <v>21</v>
      </c>
      <c r="E4" s="7" t="s">
        <v>22</v>
      </c>
      <c r="F4" s="7" t="s">
        <v>23</v>
      </c>
      <c r="G4" s="6">
        <v>35309</v>
      </c>
      <c r="H4" s="7" t="s">
        <v>14</v>
      </c>
      <c r="I4" s="7">
        <v>18178945623</v>
      </c>
      <c r="J4" s="7">
        <v>9000</v>
      </c>
      <c r="K4" s="16" t="s">
        <v>19</v>
      </c>
      <c r="M4" s="19"/>
      <c r="N4" s="20"/>
    </row>
    <row r="5" hidden="1" spans="1:14">
      <c r="A5" s="5">
        <v>21020</v>
      </c>
      <c r="B5" s="6">
        <v>43929</v>
      </c>
      <c r="C5" s="6" t="str">
        <f>VLOOKUP(A5,姓名参照表!$A$2:$B$21,2,0)</f>
        <v>姚林</v>
      </c>
      <c r="D5" s="7" t="s">
        <v>11</v>
      </c>
      <c r="E5" s="7" t="s">
        <v>22</v>
      </c>
      <c r="F5" s="7" t="s">
        <v>25</v>
      </c>
      <c r="G5" s="6">
        <v>34912</v>
      </c>
      <c r="H5" s="7" t="s">
        <v>26</v>
      </c>
      <c r="I5" s="7">
        <v>18654342365</v>
      </c>
      <c r="J5" s="7">
        <v>5500</v>
      </c>
      <c r="K5" s="16" t="s">
        <v>19</v>
      </c>
      <c r="M5" s="19"/>
      <c r="N5" s="20"/>
    </row>
    <row r="6" hidden="1" spans="1:14">
      <c r="A6" s="5">
        <v>21019</v>
      </c>
      <c r="B6" s="6">
        <v>43929</v>
      </c>
      <c r="C6" s="6" t="str">
        <f>VLOOKUP(A6,姓名参照表!$A$2:$B$21,2,0)</f>
        <v>孙英</v>
      </c>
      <c r="D6" s="7" t="s">
        <v>11</v>
      </c>
      <c r="E6" s="7" t="s">
        <v>22</v>
      </c>
      <c r="F6" s="7" t="s">
        <v>28</v>
      </c>
      <c r="G6" s="6">
        <v>34159</v>
      </c>
      <c r="H6" s="7" t="s">
        <v>26</v>
      </c>
      <c r="I6" s="7">
        <v>18734236543</v>
      </c>
      <c r="J6" s="7">
        <v>5500</v>
      </c>
      <c r="K6" s="16" t="s">
        <v>19</v>
      </c>
      <c r="M6" s="19"/>
      <c r="N6" s="20"/>
    </row>
    <row r="7" hidden="1" spans="1:14">
      <c r="A7" s="5">
        <v>21011</v>
      </c>
      <c r="B7" s="6">
        <v>43957</v>
      </c>
      <c r="C7" s="6" t="str">
        <f>VLOOKUP(A7,姓名参照表!$A$2:$B$21,2,0)</f>
        <v>王春晓</v>
      </c>
      <c r="D7" s="7" t="s">
        <v>11</v>
      </c>
      <c r="E7" s="7" t="s">
        <v>22</v>
      </c>
      <c r="F7" s="7" t="s">
        <v>28</v>
      </c>
      <c r="G7" s="6">
        <v>33027</v>
      </c>
      <c r="H7" s="7" t="s">
        <v>14</v>
      </c>
      <c r="I7" s="7">
        <v>15823452312</v>
      </c>
      <c r="J7" s="7">
        <v>5500</v>
      </c>
      <c r="K7" s="16" t="s">
        <v>19</v>
      </c>
      <c r="M7" s="21"/>
      <c r="N7" s="21"/>
    </row>
    <row r="8" spans="1:14">
      <c r="A8" s="5">
        <v>21002</v>
      </c>
      <c r="B8" s="6">
        <v>43988</v>
      </c>
      <c r="C8" s="6" t="str">
        <f>VLOOKUP(A8,姓名参照表!$A$2:$B$21,2,0)</f>
        <v>张磊</v>
      </c>
      <c r="D8" s="7" t="s">
        <v>21</v>
      </c>
      <c r="E8" s="7" t="s">
        <v>29</v>
      </c>
      <c r="F8" s="7" t="s">
        <v>27</v>
      </c>
      <c r="G8" s="6">
        <v>35559</v>
      </c>
      <c r="H8" s="7" t="s">
        <v>26</v>
      </c>
      <c r="I8" s="7">
        <v>15623789432</v>
      </c>
      <c r="J8" s="7">
        <v>6000</v>
      </c>
      <c r="K8" s="16" t="s">
        <v>19</v>
      </c>
      <c r="M8" s="22"/>
      <c r="N8" s="21"/>
    </row>
    <row r="9" spans="1:14">
      <c r="A9" s="5">
        <v>21017</v>
      </c>
      <c r="B9" s="6">
        <v>43929</v>
      </c>
      <c r="C9" s="6" t="str">
        <f>VLOOKUP(A9,姓名参照表!$A$2:$B$21,2,0)</f>
        <v>张平</v>
      </c>
      <c r="D9" s="7" t="s">
        <v>21</v>
      </c>
      <c r="E9" s="7" t="s">
        <v>29</v>
      </c>
      <c r="F9" s="7" t="s">
        <v>27</v>
      </c>
      <c r="G9" s="6">
        <v>34919</v>
      </c>
      <c r="H9" s="7" t="s">
        <v>14</v>
      </c>
      <c r="I9" s="7">
        <v>18923457687</v>
      </c>
      <c r="J9" s="7">
        <v>5000</v>
      </c>
      <c r="K9" s="16" t="s">
        <v>19</v>
      </c>
      <c r="M9" s="23"/>
      <c r="N9" s="21"/>
    </row>
    <row r="10" spans="1:14">
      <c r="A10" s="5">
        <v>21012</v>
      </c>
      <c r="B10" s="6">
        <v>43957</v>
      </c>
      <c r="C10" s="6" t="str">
        <f>VLOOKUP(A10,姓名参照表!$A$2:$B$21,2,0)</f>
        <v>钱民</v>
      </c>
      <c r="D10" s="7" t="s">
        <v>21</v>
      </c>
      <c r="E10" s="7" t="s">
        <v>29</v>
      </c>
      <c r="F10" s="7" t="s">
        <v>27</v>
      </c>
      <c r="G10" s="6">
        <v>34425</v>
      </c>
      <c r="H10" s="7" t="s">
        <v>14</v>
      </c>
      <c r="I10" s="7">
        <v>18123217534</v>
      </c>
      <c r="J10" s="7">
        <v>6000</v>
      </c>
      <c r="K10" s="16" t="s">
        <v>19</v>
      </c>
      <c r="M10" s="23"/>
      <c r="N10" s="21"/>
    </row>
    <row r="11" hidden="1" spans="1:14">
      <c r="A11" s="5">
        <v>21006</v>
      </c>
      <c r="B11" s="6">
        <v>43924</v>
      </c>
      <c r="C11" s="6" t="str">
        <f>VLOOKUP(A11,姓名参照表!$A$2:$B$21,2,0)</f>
        <v>陈万万</v>
      </c>
      <c r="D11" s="7" t="s">
        <v>11</v>
      </c>
      <c r="E11" s="7" t="s">
        <v>29</v>
      </c>
      <c r="F11" s="7" t="s">
        <v>27</v>
      </c>
      <c r="G11" s="6">
        <v>34394</v>
      </c>
      <c r="H11" s="7" t="s">
        <v>26</v>
      </c>
      <c r="I11" s="7">
        <v>15623457834</v>
      </c>
      <c r="J11" s="7">
        <v>5500</v>
      </c>
      <c r="K11" s="16" t="s">
        <v>15</v>
      </c>
      <c r="M11" s="23"/>
      <c r="N11" s="21"/>
    </row>
    <row r="12" hidden="1" spans="1:11">
      <c r="A12" s="5">
        <v>21010</v>
      </c>
      <c r="B12" s="6">
        <v>43927</v>
      </c>
      <c r="C12" s="6" t="str">
        <f>VLOOKUP(A12,姓名参照表!$A$2:$B$21,2,0)</f>
        <v>李英娜</v>
      </c>
      <c r="D12" s="7" t="s">
        <v>11</v>
      </c>
      <c r="E12" s="7" t="s">
        <v>29</v>
      </c>
      <c r="F12" s="7" t="s">
        <v>34</v>
      </c>
      <c r="G12" s="6">
        <v>33086</v>
      </c>
      <c r="H12" s="7" t="s">
        <v>14</v>
      </c>
      <c r="I12" s="7">
        <v>15345673423</v>
      </c>
      <c r="J12" s="7">
        <v>16000</v>
      </c>
      <c r="K12" s="16" t="s">
        <v>19</v>
      </c>
    </row>
    <row r="13" spans="1:11">
      <c r="A13" s="5">
        <v>21013</v>
      </c>
      <c r="B13" s="6">
        <v>43957</v>
      </c>
      <c r="C13" s="6" t="str">
        <f>VLOOKUP(A13,姓名参照表!$A$2:$B$21,2,0)</f>
        <v>王力</v>
      </c>
      <c r="D13" s="7" t="s">
        <v>21</v>
      </c>
      <c r="E13" s="7" t="s">
        <v>35</v>
      </c>
      <c r="F13" s="7" t="s">
        <v>24</v>
      </c>
      <c r="G13" s="6">
        <v>35827</v>
      </c>
      <c r="H13" s="7" t="s">
        <v>14</v>
      </c>
      <c r="I13" s="7">
        <v>18923868934</v>
      </c>
      <c r="J13" s="7">
        <v>9000</v>
      </c>
      <c r="K13" s="16" t="s">
        <v>19</v>
      </c>
    </row>
    <row r="14" spans="1:11">
      <c r="A14" s="5">
        <v>21016</v>
      </c>
      <c r="B14" s="6">
        <v>43957</v>
      </c>
      <c r="C14" s="6" t="str">
        <f>VLOOKUP(A14,姓名参照表!$A$2:$B$21,2,0)</f>
        <v>朱灿灿</v>
      </c>
      <c r="D14" s="7" t="s">
        <v>11</v>
      </c>
      <c r="E14" s="7" t="s">
        <v>35</v>
      </c>
      <c r="F14" s="7" t="s">
        <v>24</v>
      </c>
      <c r="G14" s="6">
        <v>35247</v>
      </c>
      <c r="H14" s="7" t="s">
        <v>14</v>
      </c>
      <c r="I14" s="7">
        <v>15612874378</v>
      </c>
      <c r="J14" s="7">
        <v>10000</v>
      </c>
      <c r="K14" s="16" t="s">
        <v>19</v>
      </c>
    </row>
    <row r="15" spans="1:11">
      <c r="A15" s="5">
        <v>21014</v>
      </c>
      <c r="B15" s="6">
        <v>43957</v>
      </c>
      <c r="C15" s="6" t="str">
        <f>VLOOKUP(A15,姓名参照表!$A$2:$B$21,2,0)</f>
        <v>陈松</v>
      </c>
      <c r="D15" s="7" t="s">
        <v>21</v>
      </c>
      <c r="E15" s="7" t="s">
        <v>35</v>
      </c>
      <c r="F15" s="7" t="s">
        <v>24</v>
      </c>
      <c r="G15" s="6">
        <v>34919</v>
      </c>
      <c r="H15" s="7" t="s">
        <v>26</v>
      </c>
      <c r="I15" s="7">
        <v>18945456723</v>
      </c>
      <c r="J15" s="7">
        <v>16000</v>
      </c>
      <c r="K15" s="16" t="s">
        <v>19</v>
      </c>
    </row>
    <row r="16" hidden="1" spans="1:11">
      <c r="A16" s="5">
        <v>21005</v>
      </c>
      <c r="B16" s="6">
        <v>43924</v>
      </c>
      <c r="C16" s="6" t="str">
        <f>VLOOKUP(A16,姓名参照表!$A$2:$B$21,2,0)</f>
        <v>高晓东</v>
      </c>
      <c r="D16" s="7" t="s">
        <v>21</v>
      </c>
      <c r="E16" s="7" t="s">
        <v>35</v>
      </c>
      <c r="F16" s="7" t="s">
        <v>24</v>
      </c>
      <c r="G16" s="6">
        <v>34851</v>
      </c>
      <c r="H16" s="7" t="s">
        <v>14</v>
      </c>
      <c r="I16" s="7">
        <v>18623125623</v>
      </c>
      <c r="J16" s="7">
        <v>16000</v>
      </c>
      <c r="K16" s="16" t="s">
        <v>15</v>
      </c>
    </row>
    <row r="17" spans="1:11">
      <c r="A17" s="5">
        <v>21018</v>
      </c>
      <c r="B17" s="6">
        <v>43929</v>
      </c>
      <c r="C17" s="6" t="str">
        <f>VLOOKUP(A17,姓名参照表!$A$2:$B$21,2,0)</f>
        <v>扬海东</v>
      </c>
      <c r="D17" s="7" t="s">
        <v>21</v>
      </c>
      <c r="E17" s="7" t="s">
        <v>35</v>
      </c>
      <c r="F17" s="7" t="s">
        <v>24</v>
      </c>
      <c r="G17" s="6">
        <v>34182</v>
      </c>
      <c r="H17" s="7" t="s">
        <v>14</v>
      </c>
      <c r="I17" s="7">
        <v>18987347654</v>
      </c>
      <c r="J17" s="7">
        <v>16000</v>
      </c>
      <c r="K17" s="16" t="s">
        <v>19</v>
      </c>
    </row>
    <row r="18" spans="1:11">
      <c r="A18" s="5">
        <v>21004</v>
      </c>
      <c r="B18" s="6">
        <v>43988</v>
      </c>
      <c r="C18" s="6" t="str">
        <f>VLOOKUP(A18,姓名参照表!$A$2:$B$21,2,0)</f>
        <v>金翔</v>
      </c>
      <c r="D18" s="7" t="s">
        <v>21</v>
      </c>
      <c r="E18" s="7" t="s">
        <v>35</v>
      </c>
      <c r="F18" s="7" t="s">
        <v>24</v>
      </c>
      <c r="G18" s="6">
        <v>34121</v>
      </c>
      <c r="H18" s="7" t="s">
        <v>14</v>
      </c>
      <c r="I18" s="7">
        <v>18627853445</v>
      </c>
      <c r="J18" s="7">
        <v>16000</v>
      </c>
      <c r="K18" s="16" t="s">
        <v>19</v>
      </c>
    </row>
    <row r="19" hidden="1" spans="1:11">
      <c r="A19" s="5">
        <v>21015</v>
      </c>
      <c r="B19" s="6">
        <v>43957</v>
      </c>
      <c r="C19" s="6" t="str">
        <f>VLOOKUP(A19,姓名参照表!$A$2:$B$21,2,0)</f>
        <v>黄立</v>
      </c>
      <c r="D19" s="7" t="s">
        <v>21</v>
      </c>
      <c r="E19" s="7" t="s">
        <v>35</v>
      </c>
      <c r="F19" s="7" t="s">
        <v>24</v>
      </c>
      <c r="G19" s="6">
        <v>33853</v>
      </c>
      <c r="H19" s="7" t="s">
        <v>14</v>
      </c>
      <c r="I19" s="7">
        <v>18523879865</v>
      </c>
      <c r="J19" s="7">
        <v>16000</v>
      </c>
      <c r="K19" s="16" t="s">
        <v>15</v>
      </c>
    </row>
    <row r="20" spans="1:11">
      <c r="A20" s="5">
        <v>21009</v>
      </c>
      <c r="B20" s="6">
        <v>43927</v>
      </c>
      <c r="C20" s="6" t="str">
        <f>VLOOKUP(A20,姓名参照表!$A$2:$B$21,2,0)</f>
        <v>王文辉</v>
      </c>
      <c r="D20" s="7" t="s">
        <v>21</v>
      </c>
      <c r="E20" s="7" t="s">
        <v>35</v>
      </c>
      <c r="F20" s="7" t="s">
        <v>24</v>
      </c>
      <c r="G20" s="6">
        <v>33482</v>
      </c>
      <c r="H20" s="7" t="s">
        <v>18</v>
      </c>
      <c r="I20" s="7">
        <v>18756431298</v>
      </c>
      <c r="J20" s="7">
        <v>16000</v>
      </c>
      <c r="K20" s="16" t="s">
        <v>19</v>
      </c>
    </row>
    <row r="21" hidden="1" spans="1:11">
      <c r="A21" s="9">
        <v>21008</v>
      </c>
      <c r="B21" s="10">
        <v>43927</v>
      </c>
      <c r="C21" s="10" t="str">
        <f>VLOOKUP(A21,姓名参照表!$A$2:$B$21,2,0)</f>
        <v>李新</v>
      </c>
      <c r="D21" s="11" t="s">
        <v>21</v>
      </c>
      <c r="E21" s="11" t="s">
        <v>35</v>
      </c>
      <c r="F21" s="11" t="s">
        <v>36</v>
      </c>
      <c r="G21" s="10">
        <v>31079</v>
      </c>
      <c r="H21" s="11" t="s">
        <v>14</v>
      </c>
      <c r="I21" s="11">
        <v>18623452323</v>
      </c>
      <c r="J21" s="11">
        <v>20000</v>
      </c>
      <c r="K21" s="24" t="s">
        <v>19</v>
      </c>
    </row>
    <row r="22" ht="13.5" spans="1:11">
      <c r="A22"/>
      <c r="B22"/>
      <c r="C22"/>
      <c r="D22"/>
      <c r="E22"/>
      <c r="F22"/>
      <c r="G22"/>
      <c r="H22"/>
      <c r="I22"/>
      <c r="J22"/>
      <c r="K22"/>
    </row>
    <row r="23" ht="13.5" spans="1:11">
      <c r="A23"/>
      <c r="B23"/>
      <c r="C23"/>
      <c r="D23"/>
      <c r="E23"/>
      <c r="F23"/>
      <c r="G23"/>
      <c r="H23"/>
      <c r="I23"/>
      <c r="J23"/>
      <c r="K23"/>
    </row>
    <row r="24" ht="13.5" spans="1:11">
      <c r="A24"/>
      <c r="B24"/>
      <c r="C24"/>
      <c r="D24"/>
      <c r="E24"/>
      <c r="F24"/>
      <c r="G24"/>
      <c r="H24"/>
      <c r="I24"/>
      <c r="J24"/>
      <c r="K24"/>
    </row>
    <row r="25" ht="13.5" spans="1:11">
      <c r="A25"/>
      <c r="B25"/>
      <c r="C25"/>
      <c r="D25"/>
      <c r="E25"/>
      <c r="F25"/>
      <c r="G25"/>
      <c r="H25"/>
      <c r="I25"/>
      <c r="J25"/>
      <c r="K25"/>
    </row>
    <row r="26" ht="13.5" spans="1:11">
      <c r="A26"/>
      <c r="B26"/>
      <c r="C26"/>
      <c r="D26"/>
      <c r="E26"/>
      <c r="F26"/>
      <c r="G26"/>
      <c r="H26"/>
      <c r="I26"/>
      <c r="J26"/>
      <c r="K26"/>
    </row>
    <row r="27" ht="13.5" spans="1:11">
      <c r="A27"/>
      <c r="B27"/>
      <c r="C27"/>
      <c r="D27"/>
      <c r="E27"/>
      <c r="F27"/>
      <c r="G27"/>
      <c r="H27"/>
      <c r="I27"/>
      <c r="J27"/>
      <c r="K27"/>
    </row>
    <row r="28" ht="13.5" spans="1:11">
      <c r="A28"/>
      <c r="B28"/>
      <c r="C28"/>
      <c r="D28"/>
      <c r="E28"/>
      <c r="F28"/>
      <c r="G28"/>
      <c r="H28"/>
      <c r="I28"/>
      <c r="J28"/>
      <c r="K28"/>
    </row>
    <row r="29" ht="13.5" spans="1:11">
      <c r="A29"/>
      <c r="B29"/>
      <c r="C29"/>
      <c r="D29"/>
      <c r="E29"/>
      <c r="F29"/>
      <c r="G29"/>
      <c r="H29"/>
      <c r="I29"/>
      <c r="J29"/>
      <c r="K29"/>
    </row>
    <row r="30" ht="13.5" spans="1:11">
      <c r="A30"/>
      <c r="B30"/>
      <c r="C30"/>
      <c r="D30"/>
      <c r="E30"/>
      <c r="F30"/>
      <c r="G30"/>
      <c r="H30"/>
      <c r="I30"/>
      <c r="J30"/>
      <c r="K30"/>
    </row>
    <row r="31" ht="13.5" spans="1:11">
      <c r="A31"/>
      <c r="B31"/>
      <c r="C31"/>
      <c r="D31"/>
      <c r="E31"/>
      <c r="F31"/>
      <c r="G31"/>
      <c r="H31"/>
      <c r="I31"/>
      <c r="J31"/>
      <c r="K31"/>
    </row>
    <row r="32" ht="15" spans="1:1">
      <c r="A32" s="12"/>
    </row>
    <row r="33" s="1" customFormat="1" spans="1:6">
      <c r="A33" s="13"/>
      <c r="B33" s="14"/>
      <c r="C33" s="14"/>
      <c r="D33" s="14"/>
      <c r="E33" s="13"/>
      <c r="F33" s="14"/>
    </row>
  </sheetData>
  <sheetProtection formatCells="0" insertHyperlinks="0" autoFilter="0"/>
  <conditionalFormatting sqref="J2:J21">
    <cfRule type="aboveAverage" dxfId="1" priority="2" aboveAverage="0"/>
    <cfRule type="aboveAverage" dxfId="0" priority="3"/>
  </conditionalFormatting>
  <conditionalFormatting sqref="K2:K21">
    <cfRule type="containsText" dxfId="2" priority="1" operator="between" text="离职">
      <formula>NOT(ISERROR(SEARCH("离职",K2)))</formula>
    </cfRule>
  </conditionalFormatting>
  <pageMargins left="0.75" right="0.75" top="1" bottom="1" header="0.5" footer="0.5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员工信息表</vt:lpstr>
      <vt:lpstr>姓名参照表</vt:lpstr>
      <vt:lpstr>员工详情表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+_+</cp:lastModifiedBy>
  <dcterms:created xsi:type="dcterms:W3CDTF">2021-03-31T15:25:00Z</dcterms:created>
  <cp:lastPrinted>2021-10-29T01:50:00Z</cp:lastPrinted>
  <dcterms:modified xsi:type="dcterms:W3CDTF">2024-08-20T09:53:55Z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4EB30639647949918683E81611B66E52</vt:lpwstr>
  </property>
  <property fmtid="{D5CDD505-2E9C-101B-9397-08002B2CF9AE}" pid="3" name="KSOProductBuildVer">
    <vt:lpwstr>2052-12.1.0.17147</vt:lpwstr>
  </property>
</Properties>
</file>