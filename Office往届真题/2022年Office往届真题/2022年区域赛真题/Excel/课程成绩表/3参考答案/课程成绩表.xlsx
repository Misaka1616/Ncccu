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255" activeTab="3"/>
  </bookViews>
  <sheets>
    <sheet name="班级课程成绩" sheetId="2" r:id="rId1"/>
    <sheet name="班级课程学分" sheetId="5" r:id="rId2"/>
    <sheet name="课程对应学分" sheetId="4" r:id="rId3"/>
    <sheet name="班级成绩" sheetId="6" r:id="rId4"/>
  </sheets>
  <definedNames>
    <definedName name="_xlnm._FilterDatabase" localSheetId="3" hidden="1">班级成绩!$A$3:$J$42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<sst xmlns="http://schemas.openxmlformats.org/spreadsheetml/2006/main" count="197" uniqueCount="48">
  <si>
    <t>班级课程成绩表</t>
  </si>
  <si>
    <t>班级</t>
  </si>
  <si>
    <t>学号</t>
  </si>
  <si>
    <t>离散数学</t>
  </si>
  <si>
    <t>程序设计</t>
  </si>
  <si>
    <t>电子技术应用</t>
  </si>
  <si>
    <t>数据结构</t>
  </si>
  <si>
    <t>操作系统</t>
  </si>
  <si>
    <t>计算机组成原理</t>
  </si>
  <si>
    <t>平均成绩</t>
  </si>
  <si>
    <t>名次</t>
  </si>
  <si>
    <t>1班</t>
  </si>
  <si>
    <t>2班</t>
  </si>
  <si>
    <t>3班</t>
  </si>
  <si>
    <t>总学分</t>
  </si>
  <si>
    <t>学期评价</t>
  </si>
  <si>
    <t>学分</t>
  </si>
  <si>
    <t>课程名称</t>
  </si>
  <si>
    <t>对应学分</t>
  </si>
  <si>
    <t>学期评价对照表</t>
  </si>
  <si>
    <t>成绩范围</t>
  </si>
  <si>
    <t>成绩等级</t>
  </si>
  <si>
    <t>总学分&gt;=15</t>
  </si>
  <si>
    <t>A</t>
  </si>
  <si>
    <t>15&gt;总学分&gt;=10</t>
  </si>
  <si>
    <t>B</t>
  </si>
  <si>
    <t>成绩&lt;10</t>
  </si>
  <si>
    <t>C</t>
  </si>
  <si>
    <t>职业生涯规划</t>
  </si>
  <si>
    <t>编译原理</t>
  </si>
  <si>
    <t>计算机系统结构</t>
  </si>
  <si>
    <t>数据分析</t>
  </si>
  <si>
    <t>数据库应用开发</t>
  </si>
  <si>
    <t>办公软件应用</t>
  </si>
  <si>
    <t>软件测试技术</t>
  </si>
  <si>
    <t>分布式数据库</t>
  </si>
  <si>
    <t>微机系统</t>
  </si>
  <si>
    <t>计算机系统</t>
  </si>
  <si>
    <t>数据库系统</t>
  </si>
  <si>
    <t>人工智能</t>
  </si>
  <si>
    <t>软件工程</t>
  </si>
  <si>
    <t>数字信号处理</t>
  </si>
  <si>
    <t>密码学基础</t>
  </si>
  <si>
    <t>移动计算</t>
  </si>
  <si>
    <t>1班 汇总</t>
  </si>
  <si>
    <t>2班 汇总</t>
  </si>
  <si>
    <t>3班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</si>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</sst>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</font>
      <fill>
        <patternFill patternType="mediumGray"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zoomScale="130" zoomScaleNormal="130" workbookViewId="0">
      <selection activeCell="M10" sqref="M10"/>
    </sheetView>
  </sheetViews>
  <sheetFormatPr defaultColWidth="9" defaultRowHeight="14.25"/>
  <cols>
    <col min="1" max="1" width="6.625" style="2" customWidth="1"/>
    <col min="2" max="2" width="10.625" style="2" customWidth="1"/>
    <col min="3" max="4" width="9" style="2" customWidth="1"/>
    <col min="5" max="5" width="13" style="2" customWidth="1"/>
    <col min="6" max="7" width="9" style="2" customWidth="1"/>
    <col min="8" max="8" width="13.875" style="2" customWidth="1"/>
    <col min="9" max="9" width="10.125" style="2" customWidth="1"/>
    <col min="10" max="10" width="8.625" style="2" customWidth="1"/>
    <col min="11" max="16384" width="9" style="2"/>
  </cols>
  <sheetData>
    <row r="1" spans="1:1">
      <c r="A1" s="2" t="s">
        <v>0</v>
      </c>
    </row>
    <row r="2" s="1" customFormat="1" spans="1:10">
      <c r="A2" s="3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2" t="s">
        <v>9</v>
      </c>
      <c r="J2" s="3" t="s">
        <v>10</v>
      </c>
    </row>
    <row r="3" spans="1:14">
      <c r="A3" s="3" t="s">
        <v>11</v>
      </c>
      <c r="B3" s="5">
        <v>2032601</v>
      </c>
      <c r="C3" s="6">
        <v>53</v>
      </c>
      <c r="D3" s="6">
        <v>74</v>
      </c>
      <c r="E3" s="6">
        <v>45</v>
      </c>
      <c r="F3" s="6">
        <v>60</v>
      </c>
      <c r="G3" s="6">
        <v>60</v>
      </c>
      <c r="H3" s="6">
        <v>29</v>
      </c>
      <c r="I3" s="8">
        <f>AVERAGE(C3:H3)</f>
        <v>53.5</v>
      </c>
      <c r="J3" s="6">
        <f>_xlfn.RANK.EQ(I3,$I$3:$I$40,0)</f>
        <v>30</v>
      </c>
      <c r="L3"/>
      <c r="M3"/>
      <c r="N3"/>
    </row>
    <row r="4" spans="1:14">
      <c r="A4" s="3" t="s">
        <v>11</v>
      </c>
      <c r="B4" s="5">
        <v>2032602</v>
      </c>
      <c r="C4" s="6">
        <v>90</v>
      </c>
      <c r="D4" s="6">
        <v>87</v>
      </c>
      <c r="E4" s="6">
        <v>91</v>
      </c>
      <c r="F4" s="6">
        <v>92</v>
      </c>
      <c r="G4" s="6">
        <v>90</v>
      </c>
      <c r="H4" s="6">
        <v>86</v>
      </c>
      <c r="I4" s="8">
        <f t="shared" ref="I4:I40" si="0">AVERAGE(C4:H4)</f>
        <v>89.3333333333333</v>
      </c>
      <c r="J4" s="6">
        <f t="shared" ref="J4:J40" si="1">_xlfn.RANK.EQ(I4,$I$3:$I$40,0)</f>
        <v>1</v>
      </c>
      <c r="L4"/>
      <c r="M4"/>
      <c r="N4"/>
    </row>
    <row r="5" spans="1:14">
      <c r="A5" s="3" t="s">
        <v>11</v>
      </c>
      <c r="B5" s="5">
        <v>2032603</v>
      </c>
      <c r="C5" s="6">
        <v>63</v>
      </c>
      <c r="D5" s="6">
        <v>76</v>
      </c>
      <c r="E5" s="6">
        <v>65</v>
      </c>
      <c r="F5" s="6">
        <v>63</v>
      </c>
      <c r="G5" s="6">
        <v>60</v>
      </c>
      <c r="H5" s="6">
        <v>64</v>
      </c>
      <c r="I5" s="8">
        <f t="shared" si="0"/>
        <v>65.1666666666667</v>
      </c>
      <c r="J5" s="6">
        <f t="shared" si="1"/>
        <v>19</v>
      </c>
      <c r="L5"/>
      <c r="M5"/>
      <c r="N5"/>
    </row>
    <row r="6" spans="1:14">
      <c r="A6" s="3" t="s">
        <v>11</v>
      </c>
      <c r="B6" s="5">
        <v>2032604</v>
      </c>
      <c r="C6" s="6">
        <v>60</v>
      </c>
      <c r="D6" s="6">
        <v>47</v>
      </c>
      <c r="E6" s="6">
        <v>28</v>
      </c>
      <c r="F6" s="6">
        <v>60</v>
      </c>
      <c r="G6" s="6">
        <v>60</v>
      </c>
      <c r="H6" s="6">
        <v>24</v>
      </c>
      <c r="I6" s="8">
        <f t="shared" si="0"/>
        <v>46.5</v>
      </c>
      <c r="J6" s="6">
        <f t="shared" si="1"/>
        <v>33</v>
      </c>
      <c r="L6"/>
      <c r="M6"/>
      <c r="N6"/>
    </row>
    <row r="7" spans="1:14">
      <c r="A7" s="3" t="s">
        <v>11</v>
      </c>
      <c r="B7" s="5">
        <v>2032605</v>
      </c>
      <c r="C7" s="6">
        <v>70</v>
      </c>
      <c r="D7" s="6">
        <v>71</v>
      </c>
      <c r="E7" s="6">
        <v>70</v>
      </c>
      <c r="F7" s="6">
        <v>62</v>
      </c>
      <c r="G7" s="6">
        <v>60</v>
      </c>
      <c r="H7" s="6">
        <v>63</v>
      </c>
      <c r="I7" s="8">
        <f t="shared" si="0"/>
        <v>66</v>
      </c>
      <c r="J7" s="6">
        <f t="shared" si="1"/>
        <v>17</v>
      </c>
      <c r="L7"/>
      <c r="M7"/>
      <c r="N7"/>
    </row>
    <row r="8" spans="1:14">
      <c r="A8" s="3" t="s">
        <v>11</v>
      </c>
      <c r="B8" s="5">
        <v>2032606</v>
      </c>
      <c r="C8" s="6">
        <v>60</v>
      </c>
      <c r="D8" s="6">
        <v>80</v>
      </c>
      <c r="E8" s="6">
        <v>76</v>
      </c>
      <c r="F8" s="6">
        <v>75</v>
      </c>
      <c r="G8" s="6">
        <v>60</v>
      </c>
      <c r="H8" s="6">
        <v>60</v>
      </c>
      <c r="I8" s="8">
        <f t="shared" si="0"/>
        <v>68.5</v>
      </c>
      <c r="J8" s="6">
        <f t="shared" si="1"/>
        <v>15</v>
      </c>
      <c r="L8"/>
      <c r="M8"/>
      <c r="N8"/>
    </row>
    <row r="9" spans="1:10">
      <c r="A9" s="3" t="s">
        <v>11</v>
      </c>
      <c r="B9" s="5">
        <v>2032607</v>
      </c>
      <c r="C9" s="6">
        <v>65</v>
      </c>
      <c r="D9" s="6">
        <v>87</v>
      </c>
      <c r="E9" s="6">
        <v>77</v>
      </c>
      <c r="F9" s="6">
        <v>63</v>
      </c>
      <c r="G9" s="6">
        <v>70</v>
      </c>
      <c r="H9" s="6">
        <v>70</v>
      </c>
      <c r="I9" s="8">
        <f t="shared" si="0"/>
        <v>72</v>
      </c>
      <c r="J9" s="6">
        <f t="shared" si="1"/>
        <v>14</v>
      </c>
    </row>
    <row r="10" spans="1:10">
      <c r="A10" s="3" t="s">
        <v>11</v>
      </c>
      <c r="B10" s="5">
        <v>2032608</v>
      </c>
      <c r="C10" s="6">
        <v>42</v>
      </c>
      <c r="D10" s="6">
        <v>41</v>
      </c>
      <c r="E10" s="6">
        <v>38</v>
      </c>
      <c r="F10" s="6">
        <v>60</v>
      </c>
      <c r="G10" s="6">
        <v>60</v>
      </c>
      <c r="H10" s="6">
        <v>2</v>
      </c>
      <c r="I10" s="8">
        <f t="shared" si="0"/>
        <v>40.5</v>
      </c>
      <c r="J10" s="6">
        <f t="shared" si="1"/>
        <v>37</v>
      </c>
    </row>
    <row r="11" spans="1:10">
      <c r="A11" s="3" t="s">
        <v>11</v>
      </c>
      <c r="B11" s="5">
        <v>2032609</v>
      </c>
      <c r="C11" s="6">
        <v>75</v>
      </c>
      <c r="D11" s="6">
        <v>74</v>
      </c>
      <c r="E11" s="6">
        <v>74</v>
      </c>
      <c r="F11" s="6">
        <v>68</v>
      </c>
      <c r="G11" s="6">
        <v>70</v>
      </c>
      <c r="H11" s="6">
        <v>89</v>
      </c>
      <c r="I11" s="8">
        <f t="shared" si="0"/>
        <v>75</v>
      </c>
      <c r="J11" s="6">
        <f t="shared" si="1"/>
        <v>10</v>
      </c>
    </row>
    <row r="12" spans="1:10">
      <c r="A12" s="3" t="s">
        <v>11</v>
      </c>
      <c r="B12" s="5">
        <v>2032610</v>
      </c>
      <c r="C12" s="6">
        <v>90</v>
      </c>
      <c r="D12" s="6">
        <v>69</v>
      </c>
      <c r="E12" s="6">
        <v>94</v>
      </c>
      <c r="F12" s="6">
        <v>53</v>
      </c>
      <c r="G12" s="6">
        <v>80</v>
      </c>
      <c r="H12" s="6">
        <v>63</v>
      </c>
      <c r="I12" s="8">
        <f t="shared" si="0"/>
        <v>74.8333333333333</v>
      </c>
      <c r="J12" s="6">
        <f t="shared" si="1"/>
        <v>11</v>
      </c>
    </row>
    <row r="13" spans="1:10">
      <c r="A13" s="3" t="s">
        <v>11</v>
      </c>
      <c r="B13" s="5">
        <v>2032611</v>
      </c>
      <c r="C13" s="6">
        <v>89</v>
      </c>
      <c r="D13" s="6">
        <v>78</v>
      </c>
      <c r="E13" s="6">
        <v>80</v>
      </c>
      <c r="F13" s="6">
        <v>71</v>
      </c>
      <c r="G13" s="6">
        <v>85</v>
      </c>
      <c r="H13" s="6">
        <v>94</v>
      </c>
      <c r="I13" s="8">
        <f t="shared" si="0"/>
        <v>82.8333333333333</v>
      </c>
      <c r="J13" s="6">
        <f t="shared" si="1"/>
        <v>5</v>
      </c>
    </row>
    <row r="14" spans="1:10">
      <c r="A14" s="3" t="s">
        <v>11</v>
      </c>
      <c r="B14" s="5">
        <v>2032612</v>
      </c>
      <c r="C14" s="6">
        <v>71</v>
      </c>
      <c r="D14" s="6">
        <v>73</v>
      </c>
      <c r="E14" s="6">
        <v>81</v>
      </c>
      <c r="F14" s="6">
        <v>61</v>
      </c>
      <c r="G14" s="6">
        <v>85</v>
      </c>
      <c r="H14" s="6">
        <v>85</v>
      </c>
      <c r="I14" s="8">
        <f t="shared" si="0"/>
        <v>76</v>
      </c>
      <c r="J14" s="6">
        <f t="shared" si="1"/>
        <v>8</v>
      </c>
    </row>
    <row r="15" spans="1:10">
      <c r="A15" s="3" t="s">
        <v>11</v>
      </c>
      <c r="B15" s="5">
        <v>2032613</v>
      </c>
      <c r="C15" s="6">
        <v>44</v>
      </c>
      <c r="D15" s="6">
        <v>67</v>
      </c>
      <c r="E15" s="6">
        <v>15</v>
      </c>
      <c r="F15" s="6">
        <v>53</v>
      </c>
      <c r="G15" s="6">
        <v>30</v>
      </c>
      <c r="H15" s="6">
        <v>33</v>
      </c>
      <c r="I15" s="8">
        <f t="shared" si="0"/>
        <v>40.3333333333333</v>
      </c>
      <c r="J15" s="6">
        <f t="shared" si="1"/>
        <v>38</v>
      </c>
    </row>
    <row r="16" spans="1:10">
      <c r="A16" s="3" t="s">
        <v>12</v>
      </c>
      <c r="B16" s="5">
        <v>2032614</v>
      </c>
      <c r="C16" s="6">
        <v>35</v>
      </c>
      <c r="D16" s="6">
        <v>64</v>
      </c>
      <c r="E16" s="6">
        <v>10</v>
      </c>
      <c r="F16" s="6">
        <v>60</v>
      </c>
      <c r="G16" s="6">
        <v>30</v>
      </c>
      <c r="H16" s="6">
        <v>68</v>
      </c>
      <c r="I16" s="8">
        <f t="shared" si="0"/>
        <v>44.5</v>
      </c>
      <c r="J16" s="6">
        <f t="shared" si="1"/>
        <v>34</v>
      </c>
    </row>
    <row r="17" spans="1:10">
      <c r="A17" s="3" t="s">
        <v>12</v>
      </c>
      <c r="B17" s="5">
        <v>2032615</v>
      </c>
      <c r="C17" s="6">
        <v>93</v>
      </c>
      <c r="D17" s="6">
        <v>86</v>
      </c>
      <c r="E17" s="6">
        <v>82</v>
      </c>
      <c r="F17" s="6">
        <v>76</v>
      </c>
      <c r="G17" s="6">
        <v>85</v>
      </c>
      <c r="H17" s="6">
        <v>84</v>
      </c>
      <c r="I17" s="8">
        <f t="shared" si="0"/>
        <v>84.3333333333333</v>
      </c>
      <c r="J17" s="6">
        <f t="shared" si="1"/>
        <v>4</v>
      </c>
    </row>
    <row r="18" spans="1:10">
      <c r="A18" s="3" t="s">
        <v>12</v>
      </c>
      <c r="B18" s="5">
        <v>2032616</v>
      </c>
      <c r="C18" s="6">
        <v>67</v>
      </c>
      <c r="D18" s="6">
        <v>78</v>
      </c>
      <c r="E18" s="6">
        <v>39</v>
      </c>
      <c r="F18" s="6">
        <v>63</v>
      </c>
      <c r="G18" s="6">
        <v>60</v>
      </c>
      <c r="H18" s="6">
        <v>29</v>
      </c>
      <c r="I18" s="8">
        <f t="shared" si="0"/>
        <v>56</v>
      </c>
      <c r="J18" s="6">
        <f t="shared" si="1"/>
        <v>27</v>
      </c>
    </row>
    <row r="19" spans="1:10">
      <c r="A19" s="3" t="s">
        <v>12</v>
      </c>
      <c r="B19" s="5">
        <v>2032617</v>
      </c>
      <c r="C19" s="6">
        <v>77</v>
      </c>
      <c r="D19" s="6">
        <v>81</v>
      </c>
      <c r="E19" s="6">
        <v>82</v>
      </c>
      <c r="F19" s="6">
        <v>51</v>
      </c>
      <c r="G19" s="6">
        <v>60</v>
      </c>
      <c r="H19" s="6">
        <v>87</v>
      </c>
      <c r="I19" s="8">
        <f t="shared" si="0"/>
        <v>73</v>
      </c>
      <c r="J19" s="6">
        <f t="shared" si="1"/>
        <v>13</v>
      </c>
    </row>
    <row r="20" spans="1:10">
      <c r="A20" s="3" t="s">
        <v>12</v>
      </c>
      <c r="B20" s="5">
        <v>2032618</v>
      </c>
      <c r="C20" s="6">
        <v>85</v>
      </c>
      <c r="D20" s="6">
        <v>77</v>
      </c>
      <c r="E20" s="6">
        <v>81</v>
      </c>
      <c r="F20" s="6">
        <v>60</v>
      </c>
      <c r="G20" s="6">
        <v>60</v>
      </c>
      <c r="H20" s="6">
        <v>93</v>
      </c>
      <c r="I20" s="8">
        <f t="shared" si="0"/>
        <v>76</v>
      </c>
      <c r="J20" s="6">
        <f t="shared" si="1"/>
        <v>8</v>
      </c>
    </row>
    <row r="21" spans="1:10">
      <c r="A21" s="3" t="s">
        <v>12</v>
      </c>
      <c r="B21" s="5">
        <v>2032619</v>
      </c>
      <c r="C21" s="6">
        <v>73</v>
      </c>
      <c r="D21" s="6">
        <v>70</v>
      </c>
      <c r="E21" s="6">
        <v>60</v>
      </c>
      <c r="F21" s="6">
        <v>66</v>
      </c>
      <c r="G21" s="6">
        <v>60</v>
      </c>
      <c r="H21" s="6">
        <v>61</v>
      </c>
      <c r="I21" s="8">
        <f t="shared" si="0"/>
        <v>65</v>
      </c>
      <c r="J21" s="6">
        <f t="shared" si="1"/>
        <v>20</v>
      </c>
    </row>
    <row r="22" spans="1:10">
      <c r="A22" s="3" t="s">
        <v>12</v>
      </c>
      <c r="B22" s="5">
        <v>2032620</v>
      </c>
      <c r="C22" s="6">
        <v>86</v>
      </c>
      <c r="D22" s="6">
        <v>81</v>
      </c>
      <c r="E22" s="6">
        <v>83</v>
      </c>
      <c r="F22" s="6">
        <v>75</v>
      </c>
      <c r="G22" s="6">
        <v>60</v>
      </c>
      <c r="H22" s="6">
        <v>86</v>
      </c>
      <c r="I22" s="8">
        <f t="shared" si="0"/>
        <v>78.5</v>
      </c>
      <c r="J22" s="6">
        <f t="shared" si="1"/>
        <v>6</v>
      </c>
    </row>
    <row r="23" spans="1:10">
      <c r="A23" s="3" t="s">
        <v>12</v>
      </c>
      <c r="B23" s="5">
        <v>2032621</v>
      </c>
      <c r="C23" s="6">
        <v>87</v>
      </c>
      <c r="D23" s="6">
        <v>73</v>
      </c>
      <c r="E23" s="6">
        <v>88</v>
      </c>
      <c r="F23" s="6">
        <v>71</v>
      </c>
      <c r="G23" s="6">
        <v>60</v>
      </c>
      <c r="H23" s="6">
        <v>66</v>
      </c>
      <c r="I23" s="8">
        <f t="shared" si="0"/>
        <v>74.1666666666667</v>
      </c>
      <c r="J23" s="6">
        <f t="shared" si="1"/>
        <v>12</v>
      </c>
    </row>
    <row r="24" spans="1:10">
      <c r="A24" s="3" t="s">
        <v>12</v>
      </c>
      <c r="B24" s="5">
        <v>2032622</v>
      </c>
      <c r="C24" s="6">
        <v>78</v>
      </c>
      <c r="D24" s="6">
        <v>83</v>
      </c>
      <c r="E24" s="6">
        <v>62</v>
      </c>
      <c r="F24" s="6">
        <v>50</v>
      </c>
      <c r="G24" s="6">
        <v>60</v>
      </c>
      <c r="H24" s="6">
        <v>66</v>
      </c>
      <c r="I24" s="8">
        <f t="shared" si="0"/>
        <v>66.5</v>
      </c>
      <c r="J24" s="6">
        <f t="shared" si="1"/>
        <v>16</v>
      </c>
    </row>
    <row r="25" spans="1:10">
      <c r="A25" s="3" t="s">
        <v>12</v>
      </c>
      <c r="B25" s="5">
        <v>2032623</v>
      </c>
      <c r="C25" s="6">
        <v>69</v>
      </c>
      <c r="D25" s="6">
        <v>78</v>
      </c>
      <c r="E25" s="6">
        <v>73</v>
      </c>
      <c r="F25" s="6">
        <v>62</v>
      </c>
      <c r="G25" s="6">
        <v>60</v>
      </c>
      <c r="H25" s="6">
        <v>23</v>
      </c>
      <c r="I25" s="8">
        <f t="shared" si="0"/>
        <v>60.8333333333333</v>
      </c>
      <c r="J25" s="6">
        <f t="shared" si="1"/>
        <v>24</v>
      </c>
    </row>
    <row r="26" spans="1:10">
      <c r="A26" s="3" t="s">
        <v>12</v>
      </c>
      <c r="B26" s="5">
        <v>2032624</v>
      </c>
      <c r="C26" s="6">
        <v>61</v>
      </c>
      <c r="D26" s="6">
        <v>75</v>
      </c>
      <c r="E26" s="6">
        <v>62</v>
      </c>
      <c r="F26" s="6">
        <v>50</v>
      </c>
      <c r="G26" s="6">
        <v>60</v>
      </c>
      <c r="H26" s="6">
        <v>18</v>
      </c>
      <c r="I26" s="8">
        <f t="shared" si="0"/>
        <v>54.3333333333333</v>
      </c>
      <c r="J26" s="6">
        <f t="shared" si="1"/>
        <v>28</v>
      </c>
    </row>
    <row r="27" spans="1:10">
      <c r="A27" s="3" t="s">
        <v>12</v>
      </c>
      <c r="B27" s="5">
        <v>2032625</v>
      </c>
      <c r="C27" s="6">
        <v>79</v>
      </c>
      <c r="D27" s="6">
        <v>72</v>
      </c>
      <c r="E27" s="6">
        <v>60</v>
      </c>
      <c r="F27" s="6">
        <v>49</v>
      </c>
      <c r="G27" s="6">
        <v>60</v>
      </c>
      <c r="H27" s="6">
        <v>72</v>
      </c>
      <c r="I27" s="8">
        <f t="shared" si="0"/>
        <v>65.3333333333333</v>
      </c>
      <c r="J27" s="6">
        <f t="shared" si="1"/>
        <v>18</v>
      </c>
    </row>
    <row r="28" spans="1:10">
      <c r="A28" s="3" t="s">
        <v>12</v>
      </c>
      <c r="B28" s="5">
        <v>2032626</v>
      </c>
      <c r="C28" s="6">
        <v>88</v>
      </c>
      <c r="D28" s="6">
        <v>86</v>
      </c>
      <c r="E28" s="6">
        <v>88</v>
      </c>
      <c r="F28" s="6">
        <v>61</v>
      </c>
      <c r="G28" s="6">
        <v>65</v>
      </c>
      <c r="H28" s="6">
        <v>78</v>
      </c>
      <c r="I28" s="8">
        <f t="shared" si="0"/>
        <v>77.6666666666667</v>
      </c>
      <c r="J28" s="6">
        <f t="shared" si="1"/>
        <v>7</v>
      </c>
    </row>
    <row r="29" spans="1:10">
      <c r="A29" s="3" t="s">
        <v>12</v>
      </c>
      <c r="B29" s="5">
        <v>2032627</v>
      </c>
      <c r="C29" s="6">
        <v>97</v>
      </c>
      <c r="D29" s="6">
        <v>77</v>
      </c>
      <c r="E29" s="6">
        <v>85</v>
      </c>
      <c r="F29" s="6">
        <v>76</v>
      </c>
      <c r="G29" s="6">
        <v>90</v>
      </c>
      <c r="H29" s="6">
        <v>86</v>
      </c>
      <c r="I29" s="8">
        <f t="shared" si="0"/>
        <v>85.1666666666667</v>
      </c>
      <c r="J29" s="6">
        <f t="shared" si="1"/>
        <v>3</v>
      </c>
    </row>
    <row r="30" spans="1:10">
      <c r="A30" s="3" t="s">
        <v>12</v>
      </c>
      <c r="B30" s="5">
        <v>2032628</v>
      </c>
      <c r="C30" s="6">
        <v>75</v>
      </c>
      <c r="D30" s="6">
        <v>71</v>
      </c>
      <c r="E30" s="6">
        <v>30</v>
      </c>
      <c r="F30" s="6">
        <v>60</v>
      </c>
      <c r="G30" s="6">
        <v>60</v>
      </c>
      <c r="H30" s="6">
        <v>62</v>
      </c>
      <c r="I30" s="8">
        <f t="shared" si="0"/>
        <v>59.6666666666667</v>
      </c>
      <c r="J30" s="6">
        <f t="shared" si="1"/>
        <v>26</v>
      </c>
    </row>
    <row r="31" spans="1:10">
      <c r="A31" s="3" t="s">
        <v>13</v>
      </c>
      <c r="B31" s="5">
        <v>2032629</v>
      </c>
      <c r="C31" s="6">
        <v>55</v>
      </c>
      <c r="D31" s="6">
        <v>68</v>
      </c>
      <c r="E31" s="6">
        <v>45</v>
      </c>
      <c r="F31" s="6">
        <v>60</v>
      </c>
      <c r="G31" s="6">
        <v>60</v>
      </c>
      <c r="H31" s="6">
        <v>34</v>
      </c>
      <c r="I31" s="8">
        <f t="shared" si="0"/>
        <v>53.6666666666667</v>
      </c>
      <c r="J31" s="6">
        <f t="shared" si="1"/>
        <v>29</v>
      </c>
    </row>
    <row r="32" spans="1:10">
      <c r="A32" s="3" t="s">
        <v>13</v>
      </c>
      <c r="B32" s="5">
        <v>2032630</v>
      </c>
      <c r="C32" s="6">
        <v>47</v>
      </c>
      <c r="D32" s="6">
        <v>63</v>
      </c>
      <c r="E32" s="6">
        <v>40</v>
      </c>
      <c r="F32" s="6">
        <v>48</v>
      </c>
      <c r="G32" s="6">
        <v>60</v>
      </c>
      <c r="H32" s="6">
        <v>7</v>
      </c>
      <c r="I32" s="8">
        <f t="shared" si="0"/>
        <v>44.1666666666667</v>
      </c>
      <c r="J32" s="6">
        <f t="shared" si="1"/>
        <v>35</v>
      </c>
    </row>
    <row r="33" spans="1:10">
      <c r="A33" s="3" t="s">
        <v>13</v>
      </c>
      <c r="B33" s="5">
        <v>2032631</v>
      </c>
      <c r="C33" s="6">
        <v>38</v>
      </c>
      <c r="D33" s="6">
        <v>70</v>
      </c>
      <c r="E33" s="6">
        <v>28</v>
      </c>
      <c r="F33" s="6">
        <v>47</v>
      </c>
      <c r="G33" s="6">
        <v>60</v>
      </c>
      <c r="H33" s="6">
        <v>22</v>
      </c>
      <c r="I33" s="8">
        <f t="shared" si="0"/>
        <v>44.1666666666667</v>
      </c>
      <c r="J33" s="6">
        <f t="shared" si="1"/>
        <v>35</v>
      </c>
    </row>
    <row r="34" spans="1:10">
      <c r="A34" s="3" t="s">
        <v>13</v>
      </c>
      <c r="B34" s="5">
        <v>2032632</v>
      </c>
      <c r="C34" s="6">
        <v>78</v>
      </c>
      <c r="D34" s="6">
        <v>61</v>
      </c>
      <c r="E34" s="6">
        <v>47</v>
      </c>
      <c r="F34" s="6">
        <v>60</v>
      </c>
      <c r="G34" s="6">
        <v>60</v>
      </c>
      <c r="H34" s="6">
        <v>62</v>
      </c>
      <c r="I34" s="8">
        <f t="shared" si="0"/>
        <v>61.3333333333333</v>
      </c>
      <c r="J34" s="6">
        <f t="shared" si="1"/>
        <v>23</v>
      </c>
    </row>
    <row r="35" spans="1:10">
      <c r="A35" s="3" t="s">
        <v>13</v>
      </c>
      <c r="B35" s="5">
        <v>2032633</v>
      </c>
      <c r="C35" s="6">
        <v>91</v>
      </c>
      <c r="D35" s="6">
        <v>87</v>
      </c>
      <c r="E35" s="6">
        <v>86</v>
      </c>
      <c r="F35" s="6">
        <v>92</v>
      </c>
      <c r="G35" s="6">
        <v>85</v>
      </c>
      <c r="H35" s="6">
        <v>88</v>
      </c>
      <c r="I35" s="8">
        <f t="shared" si="0"/>
        <v>88.1666666666667</v>
      </c>
      <c r="J35" s="6">
        <f t="shared" si="1"/>
        <v>2</v>
      </c>
    </row>
    <row r="36" spans="1:10">
      <c r="A36" s="3" t="s">
        <v>13</v>
      </c>
      <c r="B36" s="5">
        <v>2032634</v>
      </c>
      <c r="C36" s="6">
        <v>82</v>
      </c>
      <c r="D36" s="6">
        <v>63</v>
      </c>
      <c r="E36" s="6">
        <v>69</v>
      </c>
      <c r="F36" s="6">
        <v>48</v>
      </c>
      <c r="G36" s="6">
        <v>60</v>
      </c>
      <c r="H36" s="6">
        <v>66</v>
      </c>
      <c r="I36" s="8">
        <f t="shared" si="0"/>
        <v>64.6666666666667</v>
      </c>
      <c r="J36" s="6">
        <f t="shared" si="1"/>
        <v>21</v>
      </c>
    </row>
    <row r="37" spans="1:10">
      <c r="A37" s="3" t="s">
        <v>13</v>
      </c>
      <c r="B37" s="5">
        <v>2032635</v>
      </c>
      <c r="C37" s="6">
        <v>0</v>
      </c>
      <c r="D37" s="6">
        <v>55</v>
      </c>
      <c r="E37" s="6">
        <v>55</v>
      </c>
      <c r="F37" s="6">
        <v>60</v>
      </c>
      <c r="G37" s="6">
        <v>60</v>
      </c>
      <c r="H37" s="6">
        <v>60</v>
      </c>
      <c r="I37" s="8">
        <f t="shared" si="0"/>
        <v>48.3333333333333</v>
      </c>
      <c r="J37" s="6">
        <f t="shared" si="1"/>
        <v>32</v>
      </c>
    </row>
    <row r="38" spans="1:10">
      <c r="A38" s="3" t="s">
        <v>13</v>
      </c>
      <c r="B38" s="5">
        <v>2032636</v>
      </c>
      <c r="C38" s="6">
        <v>69</v>
      </c>
      <c r="D38" s="6">
        <v>62</v>
      </c>
      <c r="E38" s="6">
        <v>61</v>
      </c>
      <c r="F38" s="6">
        <v>50</v>
      </c>
      <c r="G38" s="6">
        <v>60</v>
      </c>
      <c r="H38" s="6">
        <v>60</v>
      </c>
      <c r="I38" s="8">
        <f t="shared" si="0"/>
        <v>60.3333333333333</v>
      </c>
      <c r="J38" s="6">
        <f t="shared" si="1"/>
        <v>25</v>
      </c>
    </row>
    <row r="39" spans="1:10">
      <c r="A39" s="3" t="s">
        <v>13</v>
      </c>
      <c r="B39" s="5">
        <v>2032637</v>
      </c>
      <c r="C39" s="6">
        <v>0</v>
      </c>
      <c r="D39" s="6">
        <v>75</v>
      </c>
      <c r="E39" s="6">
        <v>54</v>
      </c>
      <c r="F39" s="6">
        <v>51</v>
      </c>
      <c r="G39" s="6">
        <v>60</v>
      </c>
      <c r="H39" s="6">
        <v>61</v>
      </c>
      <c r="I39" s="8">
        <f t="shared" si="0"/>
        <v>50.1666666666667</v>
      </c>
      <c r="J39" s="6">
        <f t="shared" si="1"/>
        <v>31</v>
      </c>
    </row>
    <row r="40" spans="1:10">
      <c r="A40" s="3" t="s">
        <v>13</v>
      </c>
      <c r="B40" s="5">
        <v>2032638</v>
      </c>
      <c r="C40" s="6">
        <v>82</v>
      </c>
      <c r="D40" s="6">
        <v>0</v>
      </c>
      <c r="E40" s="6">
        <v>77</v>
      </c>
      <c r="F40" s="6">
        <v>80</v>
      </c>
      <c r="G40" s="6">
        <v>65</v>
      </c>
      <c r="H40" s="6">
        <v>84</v>
      </c>
      <c r="I40" s="8">
        <f t="shared" si="0"/>
        <v>64.6666666666667</v>
      </c>
      <c r="J40" s="6">
        <f t="shared" si="1"/>
        <v>21</v>
      </c>
    </row>
  </sheetData>
  <mergeCells count="1">
    <mergeCell ref="A1:J1"/>
  </mergeCells>
  <conditionalFormatting sqref="I3:I40">
    <cfRule type="aboveAverage" dxfId="0" priority="1" aboveAverage="0"/>
    <cfRule type="top10" dxfId="1" priority="2" percent="1" rank="15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0"/>
  <sheetViews>
    <sheetView zoomScale="130" zoomScaleNormal="130" workbookViewId="0">
      <selection activeCell="F24" sqref="F24"/>
    </sheetView>
  </sheetViews>
  <sheetFormatPr defaultColWidth="9" defaultRowHeight="14.25"/>
  <cols>
    <col min="1" max="1" width="5.75" style="2" customWidth="1"/>
    <col min="2" max="2" width="8.5" style="2" customWidth="1"/>
    <col min="3" max="4" width="9.375" style="2" customWidth="1"/>
    <col min="5" max="5" width="13.125" style="2" customWidth="1"/>
    <col min="6" max="7" width="9.375" style="2" customWidth="1"/>
    <col min="8" max="8" width="14.875" style="2" customWidth="1"/>
    <col min="9" max="9" width="7.625" style="2" customWidth="1"/>
    <col min="10" max="10" width="9.375" style="2" customWidth="1"/>
    <col min="11" max="11" width="9" style="2"/>
    <col min="12" max="12" width="15.375" style="2" customWidth="1"/>
    <col min="13" max="16384" width="9" style="2"/>
  </cols>
  <sheetData>
    <row r="1" s="1" customFormat="1" ht="34.5" customHeight="1" spans="1:13">
      <c r="A1" s="10" t="s">
        <v>1</v>
      </c>
      <c r="B1" s="10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9" t="s">
        <v>14</v>
      </c>
      <c r="J1" s="20" t="s">
        <v>15</v>
      </c>
      <c r="M1" s="2"/>
    </row>
    <row r="2" spans="1:13">
      <c r="A2" s="12"/>
      <c r="B2" s="12"/>
      <c r="C2" s="12" t="s">
        <v>16</v>
      </c>
      <c r="D2" s="12" t="s">
        <v>16</v>
      </c>
      <c r="E2" s="13" t="s">
        <v>16</v>
      </c>
      <c r="F2" s="13" t="s">
        <v>16</v>
      </c>
      <c r="G2" s="13" t="s">
        <v>16</v>
      </c>
      <c r="H2" s="13" t="s">
        <v>16</v>
      </c>
      <c r="I2" s="13"/>
      <c r="J2" s="21"/>
      <c r="L2" s="3" t="s">
        <v>17</v>
      </c>
      <c r="M2" s="3" t="s">
        <v>18</v>
      </c>
    </row>
    <row r="3" spans="1:13">
      <c r="A3" s="14" t="s">
        <v>11</v>
      </c>
      <c r="B3" s="14">
        <v>2032601</v>
      </c>
      <c r="C3" s="14">
        <f>IF(班级课程成绩!C3&gt;=60,$M$3,0)</f>
        <v>0</v>
      </c>
      <c r="D3" s="14">
        <f>IF(班级课程成绩!D3&gt;=60,$M$4,0)</f>
        <v>3</v>
      </c>
      <c r="E3" s="14">
        <f>IF(班级课程成绩!E3&gt;=60,$M$5,0)</f>
        <v>0</v>
      </c>
      <c r="F3" s="14">
        <f>IF(班级课程成绩!F3&gt;=60,$M$6,0)</f>
        <v>5</v>
      </c>
      <c r="G3" s="14">
        <f>IF(班级课程成绩!G3&gt;=60,$M$7,0)</f>
        <v>2</v>
      </c>
      <c r="H3" s="14">
        <f>IF(班级课程成绩!H3&gt;=60,$M$8,0)</f>
        <v>0</v>
      </c>
      <c r="I3" s="14">
        <f>SUM(C3:H3)</f>
        <v>10</v>
      </c>
      <c r="J3" s="22" t="str">
        <f>IF(I3&gt;=15,"A",IF(I3&gt;=10,"B","C"))</f>
        <v>B</v>
      </c>
      <c r="L3" s="23" t="s">
        <v>3</v>
      </c>
      <c r="M3" s="9">
        <f>VLOOKUP(L3,课程对应学分!$A$1:$B$23,2,0)</f>
        <v>4</v>
      </c>
    </row>
    <row r="4" spans="1:14">
      <c r="A4" s="12" t="s">
        <v>11</v>
      </c>
      <c r="B4" s="12">
        <v>2032602</v>
      </c>
      <c r="C4" s="12">
        <f>IF(班级课程成绩!C4&gt;=60,$M$3,0)</f>
        <v>4</v>
      </c>
      <c r="D4" s="12">
        <f>IF(班级课程成绩!D4&gt;=60,$M$4,0)</f>
        <v>3</v>
      </c>
      <c r="E4" s="12">
        <f>IF(班级课程成绩!E4&gt;=60,$M$5,0)</f>
        <v>2</v>
      </c>
      <c r="F4" s="12">
        <f>IF(班级课程成绩!F4&gt;=60,$M$6,0)</f>
        <v>5</v>
      </c>
      <c r="G4" s="12">
        <f>IF(班级课程成绩!G4&gt;=60,$M$7,0)</f>
        <v>2</v>
      </c>
      <c r="H4" s="12">
        <f>IF(班级课程成绩!H4&gt;=60,$M$8,0)</f>
        <v>3</v>
      </c>
      <c r="I4" s="12">
        <f t="shared" ref="I4:I40" si="0">SUM(C4:H4)</f>
        <v>19</v>
      </c>
      <c r="J4" s="24" t="str">
        <f t="shared" ref="J4:J40" si="1">IF(I4&gt;=15,"A",IF(I4&gt;=10,"B","C"))</f>
        <v>A</v>
      </c>
      <c r="L4" s="23" t="s">
        <v>4</v>
      </c>
      <c r="M4" s="9">
        <f>VLOOKUP(L4,课程对应学分!$A$1:$B$23,2,0)</f>
        <v>3</v>
      </c>
      <c r="N4" s="3"/>
    </row>
    <row r="5" spans="1:13">
      <c r="A5" s="14" t="s">
        <v>11</v>
      </c>
      <c r="B5" s="14">
        <v>2032603</v>
      </c>
      <c r="C5" s="14">
        <f>IF(班级课程成绩!C5&gt;=60,$M$3,0)</f>
        <v>4</v>
      </c>
      <c r="D5" s="14">
        <f>IF(班级课程成绩!D5&gt;=60,$M$4,0)</f>
        <v>3</v>
      </c>
      <c r="E5" s="14">
        <f>IF(班级课程成绩!E5&gt;=60,$M$5,0)</f>
        <v>2</v>
      </c>
      <c r="F5" s="14">
        <f>IF(班级课程成绩!F5&gt;=60,$M$6,0)</f>
        <v>5</v>
      </c>
      <c r="G5" s="14">
        <f>IF(班级课程成绩!G5&gt;=60,$M$7,0)</f>
        <v>2</v>
      </c>
      <c r="H5" s="14">
        <f>IF(班级课程成绩!H5&gt;=60,$M$8,0)</f>
        <v>3</v>
      </c>
      <c r="I5" s="14">
        <f t="shared" si="0"/>
        <v>19</v>
      </c>
      <c r="J5" s="22" t="str">
        <f t="shared" si="1"/>
        <v>A</v>
      </c>
      <c r="L5" s="23" t="s">
        <v>5</v>
      </c>
      <c r="M5" s="9">
        <f>VLOOKUP(L5,课程对应学分!$A$1:$B$23,2,0)</f>
        <v>2</v>
      </c>
    </row>
    <row r="6" spans="1:13">
      <c r="A6" s="15" t="s">
        <v>11</v>
      </c>
      <c r="B6" s="12">
        <v>2032604</v>
      </c>
      <c r="C6" s="12">
        <f>IF(班级课程成绩!C6&gt;=60,$M$3,0)</f>
        <v>4</v>
      </c>
      <c r="D6" s="12">
        <f>IF(班级课程成绩!D6&gt;=60,$M$4,0)</f>
        <v>0</v>
      </c>
      <c r="E6" s="12">
        <f>IF(班级课程成绩!E6&gt;=60,$M$5,0)</f>
        <v>0</v>
      </c>
      <c r="F6" s="12">
        <f>IF(班级课程成绩!F6&gt;=60,$M$6,0)</f>
        <v>5</v>
      </c>
      <c r="G6" s="12">
        <f>IF(班级课程成绩!G6&gt;=60,$M$7,0)</f>
        <v>2</v>
      </c>
      <c r="H6" s="12">
        <f>IF(班级课程成绩!H6&gt;=60,$M$8,0)</f>
        <v>0</v>
      </c>
      <c r="I6" s="12">
        <f t="shared" si="0"/>
        <v>11</v>
      </c>
      <c r="J6" s="24" t="str">
        <f t="shared" si="1"/>
        <v>B</v>
      </c>
      <c r="L6" s="23" t="s">
        <v>6</v>
      </c>
      <c r="M6" s="9">
        <f>VLOOKUP(L6,课程对应学分!$A$1:$B$23,2,0)</f>
        <v>5</v>
      </c>
    </row>
    <row r="7" spans="1:13">
      <c r="A7" s="16" t="s">
        <v>11</v>
      </c>
      <c r="B7" s="14">
        <v>2032605</v>
      </c>
      <c r="C7" s="14">
        <f>IF(班级课程成绩!C7&gt;=60,$M$3,0)</f>
        <v>4</v>
      </c>
      <c r="D7" s="14">
        <f>IF(班级课程成绩!D7&gt;=60,$M$4,0)</f>
        <v>3</v>
      </c>
      <c r="E7" s="14">
        <f>IF(班级课程成绩!E7&gt;=60,$M$5,0)</f>
        <v>2</v>
      </c>
      <c r="F7" s="14">
        <f>IF(班级课程成绩!F7&gt;=60,$M$6,0)</f>
        <v>5</v>
      </c>
      <c r="G7" s="14">
        <f>IF(班级课程成绩!G7&gt;=60,$M$7,0)</f>
        <v>2</v>
      </c>
      <c r="H7" s="14">
        <f>IF(班级课程成绩!H7&gt;=60,$M$8,0)</f>
        <v>3</v>
      </c>
      <c r="I7" s="14">
        <f t="shared" si="0"/>
        <v>19</v>
      </c>
      <c r="J7" s="22" t="str">
        <f t="shared" si="1"/>
        <v>A</v>
      </c>
      <c r="L7" s="23" t="s">
        <v>7</v>
      </c>
      <c r="M7" s="9">
        <f>VLOOKUP(L7,课程对应学分!$A$1:$B$23,2,0)</f>
        <v>2</v>
      </c>
    </row>
    <row r="8" spans="1:13">
      <c r="A8" s="15" t="s">
        <v>11</v>
      </c>
      <c r="B8" s="12">
        <v>2032606</v>
      </c>
      <c r="C8" s="12">
        <f>IF(班级课程成绩!C8&gt;=60,$M$3,0)</f>
        <v>4</v>
      </c>
      <c r="D8" s="12">
        <f>IF(班级课程成绩!D8&gt;=60,$M$4,0)</f>
        <v>3</v>
      </c>
      <c r="E8" s="12">
        <f>IF(班级课程成绩!E8&gt;=60,$M$5,0)</f>
        <v>2</v>
      </c>
      <c r="F8" s="12">
        <f>IF(班级课程成绩!F8&gt;=60,$M$6,0)</f>
        <v>5</v>
      </c>
      <c r="G8" s="12">
        <f>IF(班级课程成绩!G8&gt;=60,$M$7,0)</f>
        <v>2</v>
      </c>
      <c r="H8" s="12">
        <f>IF(班级课程成绩!H8&gt;=60,$M$8,0)</f>
        <v>3</v>
      </c>
      <c r="I8" s="12">
        <f t="shared" si="0"/>
        <v>19</v>
      </c>
      <c r="J8" s="24" t="str">
        <f t="shared" si="1"/>
        <v>A</v>
      </c>
      <c r="L8" s="23" t="s">
        <v>8</v>
      </c>
      <c r="M8" s="9">
        <f>VLOOKUP(L8,课程对应学分!$A$1:$B$23,2,0)</f>
        <v>3</v>
      </c>
    </row>
    <row r="9" spans="1:10">
      <c r="A9" s="16" t="s">
        <v>11</v>
      </c>
      <c r="B9" s="14">
        <v>2032607</v>
      </c>
      <c r="C9" s="14">
        <f>IF(班级课程成绩!C9&gt;=60,$M$3,0)</f>
        <v>4</v>
      </c>
      <c r="D9" s="14">
        <f>IF(班级课程成绩!D9&gt;=60,$M$4,0)</f>
        <v>3</v>
      </c>
      <c r="E9" s="14">
        <f>IF(班级课程成绩!E9&gt;=60,$M$5,0)</f>
        <v>2</v>
      </c>
      <c r="F9" s="14">
        <f>IF(班级课程成绩!F9&gt;=60,$M$6,0)</f>
        <v>5</v>
      </c>
      <c r="G9" s="14">
        <f>IF(班级课程成绩!G9&gt;=60,$M$7,0)</f>
        <v>2</v>
      </c>
      <c r="H9" s="14">
        <f>IF(班级课程成绩!H9&gt;=60,$M$8,0)</f>
        <v>3</v>
      </c>
      <c r="I9" s="14">
        <f t="shared" si="0"/>
        <v>19</v>
      </c>
      <c r="J9" s="22" t="str">
        <f t="shared" si="1"/>
        <v>A</v>
      </c>
    </row>
    <row r="10" spans="1:10">
      <c r="A10" s="15" t="s">
        <v>11</v>
      </c>
      <c r="B10" s="12">
        <v>2032608</v>
      </c>
      <c r="C10" s="12">
        <f>IF(班级课程成绩!C10&gt;=60,$M$3,0)</f>
        <v>0</v>
      </c>
      <c r="D10" s="12">
        <f>IF(班级课程成绩!D10&gt;=60,$M$4,0)</f>
        <v>0</v>
      </c>
      <c r="E10" s="12">
        <f>IF(班级课程成绩!E10&gt;=60,$M$5,0)</f>
        <v>0</v>
      </c>
      <c r="F10" s="12">
        <f>IF(班级课程成绩!F10&gt;=60,$M$6,0)</f>
        <v>5</v>
      </c>
      <c r="G10" s="12">
        <f>IF(班级课程成绩!G10&gt;=60,$M$7,0)</f>
        <v>2</v>
      </c>
      <c r="H10" s="12">
        <f>IF(班级课程成绩!H10&gt;=60,$M$8,0)</f>
        <v>0</v>
      </c>
      <c r="I10" s="12">
        <f t="shared" si="0"/>
        <v>7</v>
      </c>
      <c r="J10" s="24" t="str">
        <f t="shared" si="1"/>
        <v>C</v>
      </c>
    </row>
    <row r="11" spans="1:13">
      <c r="A11" s="16" t="s">
        <v>11</v>
      </c>
      <c r="B11" s="14">
        <v>2032609</v>
      </c>
      <c r="C11" s="14">
        <f>IF(班级课程成绩!C11&gt;=60,$M$3,0)</f>
        <v>4</v>
      </c>
      <c r="D11" s="14">
        <f>IF(班级课程成绩!D11&gt;=60,$M$4,0)</f>
        <v>3</v>
      </c>
      <c r="E11" s="14">
        <f>IF(班级课程成绩!E11&gt;=60,$M$5,0)</f>
        <v>2</v>
      </c>
      <c r="F11" s="14">
        <f>IF(班级课程成绩!F11&gt;=60,$M$6,0)</f>
        <v>5</v>
      </c>
      <c r="G11" s="14">
        <f>IF(班级课程成绩!G11&gt;=60,$M$7,0)</f>
        <v>2</v>
      </c>
      <c r="H11" s="14">
        <f>IF(班级课程成绩!H11&gt;=60,$M$8,0)</f>
        <v>3</v>
      </c>
      <c r="I11" s="14">
        <f t="shared" si="0"/>
        <v>19</v>
      </c>
      <c r="J11" s="22" t="str">
        <f t="shared" si="1"/>
        <v>A</v>
      </c>
      <c r="L11" s="25" t="s">
        <v>19</v>
      </c>
      <c r="M11" s="25"/>
    </row>
    <row r="12" spans="1:13">
      <c r="A12" s="15" t="s">
        <v>11</v>
      </c>
      <c r="B12" s="12">
        <v>2032610</v>
      </c>
      <c r="C12" s="12">
        <f>IF(班级课程成绩!C12&gt;=60,$M$3,0)</f>
        <v>4</v>
      </c>
      <c r="D12" s="12">
        <f>IF(班级课程成绩!D12&gt;=60,$M$4,0)</f>
        <v>3</v>
      </c>
      <c r="E12" s="12">
        <f>IF(班级课程成绩!E12&gt;=60,$M$5,0)</f>
        <v>2</v>
      </c>
      <c r="F12" s="12">
        <f>IF(班级课程成绩!F12&gt;=60,$M$6,0)</f>
        <v>0</v>
      </c>
      <c r="G12" s="12">
        <f>IF(班级课程成绩!G12&gt;=60,$M$7,0)</f>
        <v>2</v>
      </c>
      <c r="H12" s="12">
        <f>IF(班级课程成绩!H12&gt;=60,$M$8,0)</f>
        <v>3</v>
      </c>
      <c r="I12" s="12">
        <f t="shared" si="0"/>
        <v>14</v>
      </c>
      <c r="J12" s="24" t="str">
        <f t="shared" si="1"/>
        <v>B</v>
      </c>
      <c r="L12" s="23" t="s">
        <v>20</v>
      </c>
      <c r="M12" s="23" t="s">
        <v>21</v>
      </c>
    </row>
    <row r="13" spans="1:13">
      <c r="A13" s="16" t="s">
        <v>11</v>
      </c>
      <c r="B13" s="14">
        <v>2032611</v>
      </c>
      <c r="C13" s="14">
        <f>IF(班级课程成绩!C13&gt;=60,$M$3,0)</f>
        <v>4</v>
      </c>
      <c r="D13" s="14">
        <f>IF(班级课程成绩!D13&gt;=60,$M$4,0)</f>
        <v>3</v>
      </c>
      <c r="E13" s="14">
        <f>IF(班级课程成绩!E13&gt;=60,$M$5,0)</f>
        <v>2</v>
      </c>
      <c r="F13" s="14">
        <f>IF(班级课程成绩!F13&gt;=60,$M$6,0)</f>
        <v>5</v>
      </c>
      <c r="G13" s="14">
        <f>IF(班级课程成绩!G13&gt;=60,$M$7,0)</f>
        <v>2</v>
      </c>
      <c r="H13" s="14">
        <f>IF(班级课程成绩!H13&gt;=60,$M$8,0)</f>
        <v>3</v>
      </c>
      <c r="I13" s="14">
        <f t="shared" si="0"/>
        <v>19</v>
      </c>
      <c r="J13" s="22" t="str">
        <f t="shared" si="1"/>
        <v>A</v>
      </c>
      <c r="L13" s="23" t="s">
        <v>22</v>
      </c>
      <c r="M13" s="23" t="s">
        <v>23</v>
      </c>
    </row>
    <row r="14" spans="1:13">
      <c r="A14" s="15" t="s">
        <v>11</v>
      </c>
      <c r="B14" s="12">
        <v>2032612</v>
      </c>
      <c r="C14" s="12">
        <f>IF(班级课程成绩!C14&gt;=60,$M$3,0)</f>
        <v>4</v>
      </c>
      <c r="D14" s="12">
        <f>IF(班级课程成绩!D14&gt;=60,$M$4,0)</f>
        <v>3</v>
      </c>
      <c r="E14" s="12">
        <f>IF(班级课程成绩!E14&gt;=60,$M$5,0)</f>
        <v>2</v>
      </c>
      <c r="F14" s="12">
        <f>IF(班级课程成绩!F14&gt;=60,$M$6,0)</f>
        <v>5</v>
      </c>
      <c r="G14" s="12">
        <f>IF(班级课程成绩!G14&gt;=60,$M$7,0)</f>
        <v>2</v>
      </c>
      <c r="H14" s="12">
        <f>IF(班级课程成绩!H14&gt;=60,$M$8,0)</f>
        <v>3</v>
      </c>
      <c r="I14" s="12">
        <f t="shared" si="0"/>
        <v>19</v>
      </c>
      <c r="J14" s="24" t="str">
        <f t="shared" si="1"/>
        <v>A</v>
      </c>
      <c r="L14" s="23" t="s">
        <v>24</v>
      </c>
      <c r="M14" s="23" t="s">
        <v>25</v>
      </c>
    </row>
    <row r="15" spans="1:13">
      <c r="A15" s="16" t="s">
        <v>11</v>
      </c>
      <c r="B15" s="14">
        <v>2032613</v>
      </c>
      <c r="C15" s="14">
        <f>IF(班级课程成绩!C15&gt;=60,$M$3,0)</f>
        <v>0</v>
      </c>
      <c r="D15" s="14">
        <f>IF(班级课程成绩!D15&gt;=60,$M$4,0)</f>
        <v>3</v>
      </c>
      <c r="E15" s="14">
        <f>IF(班级课程成绩!E15&gt;=60,$M$5,0)</f>
        <v>0</v>
      </c>
      <c r="F15" s="14">
        <f>IF(班级课程成绩!F15&gt;=60,$M$6,0)</f>
        <v>0</v>
      </c>
      <c r="G15" s="14">
        <f>IF(班级课程成绩!G15&gt;=60,$M$7,0)</f>
        <v>0</v>
      </c>
      <c r="H15" s="14">
        <f>IF(班级课程成绩!H15&gt;=60,$M$8,0)</f>
        <v>0</v>
      </c>
      <c r="I15" s="14">
        <f t="shared" si="0"/>
        <v>3</v>
      </c>
      <c r="J15" s="22" t="str">
        <f t="shared" si="1"/>
        <v>C</v>
      </c>
      <c r="L15" s="23" t="s">
        <v>26</v>
      </c>
      <c r="M15" s="23" t="s">
        <v>27</v>
      </c>
    </row>
    <row r="16" spans="1:10">
      <c r="A16" s="15" t="s">
        <v>12</v>
      </c>
      <c r="B16" s="12">
        <v>2032614</v>
      </c>
      <c r="C16" s="12">
        <f>IF(班级课程成绩!C16&gt;=60,$M$3,0)</f>
        <v>0</v>
      </c>
      <c r="D16" s="12">
        <f>IF(班级课程成绩!D16&gt;=60,$M$4,0)</f>
        <v>3</v>
      </c>
      <c r="E16" s="12">
        <f>IF(班级课程成绩!E16&gt;=60,$M$5,0)</f>
        <v>0</v>
      </c>
      <c r="F16" s="12">
        <f>IF(班级课程成绩!F16&gt;=60,$M$6,0)</f>
        <v>5</v>
      </c>
      <c r="G16" s="12">
        <f>IF(班级课程成绩!G16&gt;=60,$M$7,0)</f>
        <v>0</v>
      </c>
      <c r="H16" s="12">
        <f>IF(班级课程成绩!H16&gt;=60,$M$8,0)</f>
        <v>3</v>
      </c>
      <c r="I16" s="12">
        <f t="shared" si="0"/>
        <v>11</v>
      </c>
      <c r="J16" s="24" t="str">
        <f t="shared" si="1"/>
        <v>B</v>
      </c>
    </row>
    <row r="17" spans="1:10">
      <c r="A17" s="16" t="s">
        <v>12</v>
      </c>
      <c r="B17" s="14">
        <v>2032615</v>
      </c>
      <c r="C17" s="14">
        <f>IF(班级课程成绩!C17&gt;=60,$M$3,0)</f>
        <v>4</v>
      </c>
      <c r="D17" s="14">
        <f>IF(班级课程成绩!D17&gt;=60,$M$4,0)</f>
        <v>3</v>
      </c>
      <c r="E17" s="14">
        <f>IF(班级课程成绩!E17&gt;=60,$M$5,0)</f>
        <v>2</v>
      </c>
      <c r="F17" s="14">
        <f>IF(班级课程成绩!F17&gt;=60,$M$6,0)</f>
        <v>5</v>
      </c>
      <c r="G17" s="14">
        <f>IF(班级课程成绩!G17&gt;=60,$M$7,0)</f>
        <v>2</v>
      </c>
      <c r="H17" s="14">
        <f>IF(班级课程成绩!H17&gt;=60,$M$8,0)</f>
        <v>3</v>
      </c>
      <c r="I17" s="14">
        <f t="shared" si="0"/>
        <v>19</v>
      </c>
      <c r="J17" s="22" t="str">
        <f t="shared" si="1"/>
        <v>A</v>
      </c>
    </row>
    <row r="18" spans="1:10">
      <c r="A18" s="15" t="s">
        <v>12</v>
      </c>
      <c r="B18" s="12">
        <v>2032616</v>
      </c>
      <c r="C18" s="12">
        <f>IF(班级课程成绩!C18&gt;=60,$M$3,0)</f>
        <v>4</v>
      </c>
      <c r="D18" s="12">
        <f>IF(班级课程成绩!D18&gt;=60,$M$4,0)</f>
        <v>3</v>
      </c>
      <c r="E18" s="12">
        <f>IF(班级课程成绩!E18&gt;=60,$M$5,0)</f>
        <v>0</v>
      </c>
      <c r="F18" s="12">
        <f>IF(班级课程成绩!F18&gt;=60,$M$6,0)</f>
        <v>5</v>
      </c>
      <c r="G18" s="12">
        <f>IF(班级课程成绩!G18&gt;=60,$M$7,0)</f>
        <v>2</v>
      </c>
      <c r="H18" s="12">
        <f>IF(班级课程成绩!H18&gt;=60,$M$8,0)</f>
        <v>0</v>
      </c>
      <c r="I18" s="12">
        <f t="shared" si="0"/>
        <v>14</v>
      </c>
      <c r="J18" s="24" t="str">
        <f t="shared" si="1"/>
        <v>B</v>
      </c>
    </row>
    <row r="19" spans="1:10">
      <c r="A19" s="16" t="s">
        <v>12</v>
      </c>
      <c r="B19" s="14">
        <v>2032617</v>
      </c>
      <c r="C19" s="14">
        <f>IF(班级课程成绩!C19&gt;=60,$M$3,0)</f>
        <v>4</v>
      </c>
      <c r="D19" s="14">
        <f>IF(班级课程成绩!D19&gt;=60,$M$4,0)</f>
        <v>3</v>
      </c>
      <c r="E19" s="14">
        <f>IF(班级课程成绩!E19&gt;=60,$M$5,0)</f>
        <v>2</v>
      </c>
      <c r="F19" s="14">
        <f>IF(班级课程成绩!F19&gt;=60,$M$6,0)</f>
        <v>0</v>
      </c>
      <c r="G19" s="14">
        <f>IF(班级课程成绩!G19&gt;=60,$M$7,0)</f>
        <v>2</v>
      </c>
      <c r="H19" s="14">
        <f>IF(班级课程成绩!H19&gt;=60,$M$8,0)</f>
        <v>3</v>
      </c>
      <c r="I19" s="14">
        <f t="shared" si="0"/>
        <v>14</v>
      </c>
      <c r="J19" s="22" t="str">
        <f t="shared" si="1"/>
        <v>B</v>
      </c>
    </row>
    <row r="20" spans="1:10">
      <c r="A20" s="15" t="s">
        <v>12</v>
      </c>
      <c r="B20" s="12">
        <v>2032618</v>
      </c>
      <c r="C20" s="12">
        <f>IF(班级课程成绩!C20&gt;=60,$M$3,0)</f>
        <v>4</v>
      </c>
      <c r="D20" s="12">
        <f>IF(班级课程成绩!D20&gt;=60,$M$4,0)</f>
        <v>3</v>
      </c>
      <c r="E20" s="12">
        <f>IF(班级课程成绩!E20&gt;=60,$M$5,0)</f>
        <v>2</v>
      </c>
      <c r="F20" s="12">
        <f>IF(班级课程成绩!F20&gt;=60,$M$6,0)</f>
        <v>5</v>
      </c>
      <c r="G20" s="12">
        <f>IF(班级课程成绩!G20&gt;=60,$M$7,0)</f>
        <v>2</v>
      </c>
      <c r="H20" s="12">
        <f>IF(班级课程成绩!H20&gt;=60,$M$8,0)</f>
        <v>3</v>
      </c>
      <c r="I20" s="12">
        <f t="shared" si="0"/>
        <v>19</v>
      </c>
      <c r="J20" s="24" t="str">
        <f t="shared" si="1"/>
        <v>A</v>
      </c>
    </row>
    <row r="21" spans="1:10">
      <c r="A21" s="16" t="s">
        <v>12</v>
      </c>
      <c r="B21" s="14">
        <v>2032619</v>
      </c>
      <c r="C21" s="14">
        <f>IF(班级课程成绩!C21&gt;=60,$M$3,0)</f>
        <v>4</v>
      </c>
      <c r="D21" s="14">
        <f>IF(班级课程成绩!D21&gt;=60,$M$4,0)</f>
        <v>3</v>
      </c>
      <c r="E21" s="14">
        <f>IF(班级课程成绩!E21&gt;=60,$M$5,0)</f>
        <v>2</v>
      </c>
      <c r="F21" s="14">
        <f>IF(班级课程成绩!F21&gt;=60,$M$6,0)</f>
        <v>5</v>
      </c>
      <c r="G21" s="14">
        <f>IF(班级课程成绩!G21&gt;=60,$M$7,0)</f>
        <v>2</v>
      </c>
      <c r="H21" s="14">
        <f>IF(班级课程成绩!H21&gt;=60,$M$8,0)</f>
        <v>3</v>
      </c>
      <c r="I21" s="14">
        <f t="shared" si="0"/>
        <v>19</v>
      </c>
      <c r="J21" s="22" t="str">
        <f t="shared" si="1"/>
        <v>A</v>
      </c>
    </row>
    <row r="22" spans="1:10">
      <c r="A22" s="15" t="s">
        <v>12</v>
      </c>
      <c r="B22" s="12">
        <v>2032620</v>
      </c>
      <c r="C22" s="12">
        <f>IF(班级课程成绩!C22&gt;=60,$M$3,0)</f>
        <v>4</v>
      </c>
      <c r="D22" s="12">
        <f>IF(班级课程成绩!D22&gt;=60,$M$4,0)</f>
        <v>3</v>
      </c>
      <c r="E22" s="12">
        <f>IF(班级课程成绩!E22&gt;=60,$M$5,0)</f>
        <v>2</v>
      </c>
      <c r="F22" s="12">
        <f>IF(班级课程成绩!F22&gt;=60,$M$6,0)</f>
        <v>5</v>
      </c>
      <c r="G22" s="12">
        <f>IF(班级课程成绩!G22&gt;=60,$M$7,0)</f>
        <v>2</v>
      </c>
      <c r="H22" s="12">
        <f>IF(班级课程成绩!H22&gt;=60,$M$8,0)</f>
        <v>3</v>
      </c>
      <c r="I22" s="12">
        <f t="shared" si="0"/>
        <v>19</v>
      </c>
      <c r="J22" s="24" t="str">
        <f t="shared" si="1"/>
        <v>A</v>
      </c>
    </row>
    <row r="23" spans="1:10">
      <c r="A23" s="16" t="s">
        <v>12</v>
      </c>
      <c r="B23" s="14">
        <v>2032621</v>
      </c>
      <c r="C23" s="14">
        <f>IF(班级课程成绩!C23&gt;=60,$M$3,0)</f>
        <v>4</v>
      </c>
      <c r="D23" s="14">
        <f>IF(班级课程成绩!D23&gt;=60,$M$4,0)</f>
        <v>3</v>
      </c>
      <c r="E23" s="14">
        <f>IF(班级课程成绩!E23&gt;=60,$M$5,0)</f>
        <v>2</v>
      </c>
      <c r="F23" s="14">
        <f>IF(班级课程成绩!F23&gt;=60,$M$6,0)</f>
        <v>5</v>
      </c>
      <c r="G23" s="14">
        <f>IF(班级课程成绩!G23&gt;=60,$M$7,0)</f>
        <v>2</v>
      </c>
      <c r="H23" s="14">
        <f>IF(班级课程成绩!H23&gt;=60,$M$8,0)</f>
        <v>3</v>
      </c>
      <c r="I23" s="14">
        <f t="shared" si="0"/>
        <v>19</v>
      </c>
      <c r="J23" s="22" t="str">
        <f t="shared" si="1"/>
        <v>A</v>
      </c>
    </row>
    <row r="24" spans="1:10">
      <c r="A24" s="15" t="s">
        <v>12</v>
      </c>
      <c r="B24" s="12">
        <v>2032622</v>
      </c>
      <c r="C24" s="12">
        <f>IF(班级课程成绩!C24&gt;=60,$M$3,0)</f>
        <v>4</v>
      </c>
      <c r="D24" s="12">
        <f>IF(班级课程成绩!D24&gt;=60,$M$4,0)</f>
        <v>3</v>
      </c>
      <c r="E24" s="12">
        <f>IF(班级课程成绩!E24&gt;=60,$M$5,0)</f>
        <v>2</v>
      </c>
      <c r="F24" s="12">
        <f>IF(班级课程成绩!F24&gt;=60,$M$6,0)</f>
        <v>0</v>
      </c>
      <c r="G24" s="12">
        <f>IF(班级课程成绩!G24&gt;=60,$M$7,0)</f>
        <v>2</v>
      </c>
      <c r="H24" s="12">
        <f>IF(班级课程成绩!H24&gt;=60,$M$8,0)</f>
        <v>3</v>
      </c>
      <c r="I24" s="12">
        <f t="shared" si="0"/>
        <v>14</v>
      </c>
      <c r="J24" s="24" t="str">
        <f t="shared" si="1"/>
        <v>B</v>
      </c>
    </row>
    <row r="25" spans="1:10">
      <c r="A25" s="16" t="s">
        <v>12</v>
      </c>
      <c r="B25" s="14">
        <v>2032623</v>
      </c>
      <c r="C25" s="14">
        <f>IF(班级课程成绩!C25&gt;=60,$M$3,0)</f>
        <v>4</v>
      </c>
      <c r="D25" s="14">
        <f>IF(班级课程成绩!D25&gt;=60,$M$4,0)</f>
        <v>3</v>
      </c>
      <c r="E25" s="14">
        <f>IF(班级课程成绩!E25&gt;=60,$M$5,0)</f>
        <v>2</v>
      </c>
      <c r="F25" s="14">
        <f>IF(班级课程成绩!F25&gt;=60,$M$6,0)</f>
        <v>5</v>
      </c>
      <c r="G25" s="14">
        <f>IF(班级课程成绩!G25&gt;=60,$M$7,0)</f>
        <v>2</v>
      </c>
      <c r="H25" s="14">
        <f>IF(班级课程成绩!H25&gt;=60,$M$8,0)</f>
        <v>0</v>
      </c>
      <c r="I25" s="14">
        <f t="shared" si="0"/>
        <v>16</v>
      </c>
      <c r="J25" s="22" t="str">
        <f t="shared" si="1"/>
        <v>A</v>
      </c>
    </row>
    <row r="26" spans="1:10">
      <c r="A26" s="15" t="s">
        <v>12</v>
      </c>
      <c r="B26" s="12">
        <v>2032624</v>
      </c>
      <c r="C26" s="12">
        <f>IF(班级课程成绩!C26&gt;=60,$M$3,0)</f>
        <v>4</v>
      </c>
      <c r="D26" s="12">
        <f>IF(班级课程成绩!D26&gt;=60,$M$4,0)</f>
        <v>3</v>
      </c>
      <c r="E26" s="12">
        <f>IF(班级课程成绩!E26&gt;=60,$M$5,0)</f>
        <v>2</v>
      </c>
      <c r="F26" s="12">
        <f>IF(班级课程成绩!F26&gt;=60,$M$6,0)</f>
        <v>0</v>
      </c>
      <c r="G26" s="12">
        <f>IF(班级课程成绩!G26&gt;=60,$M$7,0)</f>
        <v>2</v>
      </c>
      <c r="H26" s="12">
        <f>IF(班级课程成绩!H26&gt;=60,$M$8,0)</f>
        <v>0</v>
      </c>
      <c r="I26" s="12">
        <f t="shared" si="0"/>
        <v>11</v>
      </c>
      <c r="J26" s="24" t="str">
        <f t="shared" si="1"/>
        <v>B</v>
      </c>
    </row>
    <row r="27" spans="1:10">
      <c r="A27" s="16" t="s">
        <v>12</v>
      </c>
      <c r="B27" s="14">
        <v>2032625</v>
      </c>
      <c r="C27" s="14">
        <f>IF(班级课程成绩!C27&gt;=60,$M$3,0)</f>
        <v>4</v>
      </c>
      <c r="D27" s="14">
        <f>IF(班级课程成绩!D27&gt;=60,$M$4,0)</f>
        <v>3</v>
      </c>
      <c r="E27" s="14">
        <f>IF(班级课程成绩!E27&gt;=60,$M$5,0)</f>
        <v>2</v>
      </c>
      <c r="F27" s="14">
        <f>IF(班级课程成绩!F27&gt;=60,$M$6,0)</f>
        <v>0</v>
      </c>
      <c r="G27" s="14">
        <f>IF(班级课程成绩!G27&gt;=60,$M$7,0)</f>
        <v>2</v>
      </c>
      <c r="H27" s="14">
        <f>IF(班级课程成绩!H27&gt;=60,$M$8,0)</f>
        <v>3</v>
      </c>
      <c r="I27" s="14">
        <f t="shared" si="0"/>
        <v>14</v>
      </c>
      <c r="J27" s="22" t="str">
        <f t="shared" si="1"/>
        <v>B</v>
      </c>
    </row>
    <row r="28" spans="1:10">
      <c r="A28" s="15" t="s">
        <v>12</v>
      </c>
      <c r="B28" s="12">
        <v>2032626</v>
      </c>
      <c r="C28" s="12">
        <f>IF(班级课程成绩!C28&gt;=60,$M$3,0)</f>
        <v>4</v>
      </c>
      <c r="D28" s="12">
        <f>IF(班级课程成绩!D28&gt;=60,$M$4,0)</f>
        <v>3</v>
      </c>
      <c r="E28" s="12">
        <f>IF(班级课程成绩!E28&gt;=60,$M$5,0)</f>
        <v>2</v>
      </c>
      <c r="F28" s="12">
        <f>IF(班级课程成绩!F28&gt;=60,$M$6,0)</f>
        <v>5</v>
      </c>
      <c r="G28" s="12">
        <f>IF(班级课程成绩!G28&gt;=60,$M$7,0)</f>
        <v>2</v>
      </c>
      <c r="H28" s="12">
        <f>IF(班级课程成绩!H28&gt;=60,$M$8,0)</f>
        <v>3</v>
      </c>
      <c r="I28" s="12">
        <f t="shared" si="0"/>
        <v>19</v>
      </c>
      <c r="J28" s="24" t="str">
        <f t="shared" si="1"/>
        <v>A</v>
      </c>
    </row>
    <row r="29" spans="1:10">
      <c r="A29" s="16" t="s">
        <v>12</v>
      </c>
      <c r="B29" s="14">
        <v>2032627</v>
      </c>
      <c r="C29" s="14">
        <f>IF(班级课程成绩!C29&gt;=60,$M$3,0)</f>
        <v>4</v>
      </c>
      <c r="D29" s="14">
        <f>IF(班级课程成绩!D29&gt;=60,$M$4,0)</f>
        <v>3</v>
      </c>
      <c r="E29" s="14">
        <f>IF(班级课程成绩!E29&gt;=60,$M$5,0)</f>
        <v>2</v>
      </c>
      <c r="F29" s="14">
        <f>IF(班级课程成绩!F29&gt;=60,$M$6,0)</f>
        <v>5</v>
      </c>
      <c r="G29" s="14">
        <f>IF(班级课程成绩!G29&gt;=60,$M$7,0)</f>
        <v>2</v>
      </c>
      <c r="H29" s="14">
        <f>IF(班级课程成绩!H29&gt;=60,$M$8,0)</f>
        <v>3</v>
      </c>
      <c r="I29" s="14">
        <f t="shared" si="0"/>
        <v>19</v>
      </c>
      <c r="J29" s="22" t="str">
        <f t="shared" si="1"/>
        <v>A</v>
      </c>
    </row>
    <row r="30" spans="1:10">
      <c r="A30" s="15" t="s">
        <v>12</v>
      </c>
      <c r="B30" s="12">
        <v>2032628</v>
      </c>
      <c r="C30" s="12">
        <f>IF(班级课程成绩!C30&gt;=60,$M$3,0)</f>
        <v>4</v>
      </c>
      <c r="D30" s="12">
        <f>IF(班级课程成绩!D30&gt;=60,$M$4,0)</f>
        <v>3</v>
      </c>
      <c r="E30" s="12">
        <f>IF(班级课程成绩!E30&gt;=60,$M$5,0)</f>
        <v>0</v>
      </c>
      <c r="F30" s="12">
        <f>IF(班级课程成绩!F30&gt;=60,$M$6,0)</f>
        <v>5</v>
      </c>
      <c r="G30" s="12">
        <f>IF(班级课程成绩!G30&gt;=60,$M$7,0)</f>
        <v>2</v>
      </c>
      <c r="H30" s="12">
        <f>IF(班级课程成绩!H30&gt;=60,$M$8,0)</f>
        <v>3</v>
      </c>
      <c r="I30" s="12">
        <f t="shared" si="0"/>
        <v>17</v>
      </c>
      <c r="J30" s="24" t="str">
        <f t="shared" si="1"/>
        <v>A</v>
      </c>
    </row>
    <row r="31" spans="1:10">
      <c r="A31" s="16" t="s">
        <v>13</v>
      </c>
      <c r="B31" s="14">
        <v>2032629</v>
      </c>
      <c r="C31" s="14">
        <f>IF(班级课程成绩!C31&gt;=60,$M$3,0)</f>
        <v>0</v>
      </c>
      <c r="D31" s="14">
        <f>IF(班级课程成绩!D31&gt;=60,$M$4,0)</f>
        <v>3</v>
      </c>
      <c r="E31" s="14">
        <f>IF(班级课程成绩!E31&gt;=60,$M$5,0)</f>
        <v>0</v>
      </c>
      <c r="F31" s="14">
        <f>IF(班级课程成绩!F31&gt;=60,$M$6,0)</f>
        <v>5</v>
      </c>
      <c r="G31" s="14">
        <f>IF(班级课程成绩!G31&gt;=60,$M$7,0)</f>
        <v>2</v>
      </c>
      <c r="H31" s="14">
        <f>IF(班级课程成绩!H31&gt;=60,$M$8,0)</f>
        <v>0</v>
      </c>
      <c r="I31" s="14">
        <f t="shared" si="0"/>
        <v>10</v>
      </c>
      <c r="J31" s="22" t="str">
        <f t="shared" si="1"/>
        <v>B</v>
      </c>
    </row>
    <row r="32" spans="1:10">
      <c r="A32" s="15" t="s">
        <v>13</v>
      </c>
      <c r="B32" s="12">
        <v>2032630</v>
      </c>
      <c r="C32" s="12">
        <f>IF(班级课程成绩!C32&gt;=60,$M$3,0)</f>
        <v>0</v>
      </c>
      <c r="D32" s="12">
        <f>IF(班级课程成绩!D32&gt;=60,$M$4,0)</f>
        <v>3</v>
      </c>
      <c r="E32" s="12">
        <f>IF(班级课程成绩!E32&gt;=60,$M$5,0)</f>
        <v>0</v>
      </c>
      <c r="F32" s="12">
        <f>IF(班级课程成绩!F32&gt;=60,$M$6,0)</f>
        <v>0</v>
      </c>
      <c r="G32" s="12">
        <f>IF(班级课程成绩!G32&gt;=60,$M$7,0)</f>
        <v>2</v>
      </c>
      <c r="H32" s="12">
        <f>IF(班级课程成绩!H32&gt;=60,$M$8,0)</f>
        <v>0</v>
      </c>
      <c r="I32" s="12">
        <f t="shared" si="0"/>
        <v>5</v>
      </c>
      <c r="J32" s="24" t="str">
        <f t="shared" si="1"/>
        <v>C</v>
      </c>
    </row>
    <row r="33" spans="1:10">
      <c r="A33" s="16" t="s">
        <v>13</v>
      </c>
      <c r="B33" s="14">
        <v>2032631</v>
      </c>
      <c r="C33" s="14">
        <f>IF(班级课程成绩!C33&gt;=60,$M$3,0)</f>
        <v>0</v>
      </c>
      <c r="D33" s="14">
        <f>IF(班级课程成绩!D33&gt;=60,$M$4,0)</f>
        <v>3</v>
      </c>
      <c r="E33" s="14">
        <f>IF(班级课程成绩!E33&gt;=60,$M$5,0)</f>
        <v>0</v>
      </c>
      <c r="F33" s="14">
        <f>IF(班级课程成绩!F33&gt;=60,$M$6,0)</f>
        <v>0</v>
      </c>
      <c r="G33" s="14">
        <f>IF(班级课程成绩!G33&gt;=60,$M$7,0)</f>
        <v>2</v>
      </c>
      <c r="H33" s="14">
        <f>IF(班级课程成绩!H33&gt;=60,$M$8,0)</f>
        <v>0</v>
      </c>
      <c r="I33" s="14">
        <f t="shared" si="0"/>
        <v>5</v>
      </c>
      <c r="J33" s="22" t="str">
        <f t="shared" si="1"/>
        <v>C</v>
      </c>
    </row>
    <row r="34" spans="1:10">
      <c r="A34" s="15" t="s">
        <v>13</v>
      </c>
      <c r="B34" s="12">
        <v>2032632</v>
      </c>
      <c r="C34" s="12">
        <f>IF(班级课程成绩!C34&gt;=60,$M$3,0)</f>
        <v>4</v>
      </c>
      <c r="D34" s="12">
        <f>IF(班级课程成绩!D34&gt;=60,$M$4,0)</f>
        <v>3</v>
      </c>
      <c r="E34" s="12">
        <f>IF(班级课程成绩!E34&gt;=60,$M$5,0)</f>
        <v>0</v>
      </c>
      <c r="F34" s="12">
        <f>IF(班级课程成绩!F34&gt;=60,$M$6,0)</f>
        <v>5</v>
      </c>
      <c r="G34" s="12">
        <f>IF(班级课程成绩!G34&gt;=60,$M$7,0)</f>
        <v>2</v>
      </c>
      <c r="H34" s="12">
        <f>IF(班级课程成绩!H34&gt;=60,$M$8,0)</f>
        <v>3</v>
      </c>
      <c r="I34" s="12">
        <f t="shared" si="0"/>
        <v>17</v>
      </c>
      <c r="J34" s="24" t="str">
        <f t="shared" si="1"/>
        <v>A</v>
      </c>
    </row>
    <row r="35" spans="1:10">
      <c r="A35" s="16" t="s">
        <v>13</v>
      </c>
      <c r="B35" s="14">
        <v>2032633</v>
      </c>
      <c r="C35" s="14">
        <f>IF(班级课程成绩!C35&gt;=60,$M$3,0)</f>
        <v>4</v>
      </c>
      <c r="D35" s="14">
        <f>IF(班级课程成绩!D35&gt;=60,$M$4,0)</f>
        <v>3</v>
      </c>
      <c r="E35" s="14">
        <f>IF(班级课程成绩!E35&gt;=60,$M$5,0)</f>
        <v>2</v>
      </c>
      <c r="F35" s="14">
        <f>IF(班级课程成绩!F35&gt;=60,$M$6,0)</f>
        <v>5</v>
      </c>
      <c r="G35" s="14">
        <f>IF(班级课程成绩!G35&gt;=60,$M$7,0)</f>
        <v>2</v>
      </c>
      <c r="H35" s="14">
        <f>IF(班级课程成绩!H35&gt;=60,$M$8,0)</f>
        <v>3</v>
      </c>
      <c r="I35" s="14">
        <f t="shared" si="0"/>
        <v>19</v>
      </c>
      <c r="J35" s="22" t="str">
        <f t="shared" si="1"/>
        <v>A</v>
      </c>
    </row>
    <row r="36" spans="1:10">
      <c r="A36" s="15" t="s">
        <v>13</v>
      </c>
      <c r="B36" s="12">
        <v>2032634</v>
      </c>
      <c r="C36" s="12">
        <f>IF(班级课程成绩!C36&gt;=60,$M$3,0)</f>
        <v>4</v>
      </c>
      <c r="D36" s="12">
        <f>IF(班级课程成绩!D36&gt;=60,$M$4,0)</f>
        <v>3</v>
      </c>
      <c r="E36" s="12">
        <f>IF(班级课程成绩!E36&gt;=60,$M$5,0)</f>
        <v>2</v>
      </c>
      <c r="F36" s="12">
        <f>IF(班级课程成绩!F36&gt;=60,$M$6,0)</f>
        <v>0</v>
      </c>
      <c r="G36" s="12">
        <f>IF(班级课程成绩!G36&gt;=60,$M$7,0)</f>
        <v>2</v>
      </c>
      <c r="H36" s="12">
        <f>IF(班级课程成绩!H36&gt;=60,$M$8,0)</f>
        <v>3</v>
      </c>
      <c r="I36" s="12">
        <f t="shared" si="0"/>
        <v>14</v>
      </c>
      <c r="J36" s="24" t="str">
        <f t="shared" si="1"/>
        <v>B</v>
      </c>
    </row>
    <row r="37" spans="1:10">
      <c r="A37" s="16" t="s">
        <v>13</v>
      </c>
      <c r="B37" s="14">
        <v>2032635</v>
      </c>
      <c r="C37" s="14">
        <f>IF(班级课程成绩!C37&gt;=60,$M$3,0)</f>
        <v>0</v>
      </c>
      <c r="D37" s="14">
        <f>IF(班级课程成绩!D37&gt;=60,$M$4,0)</f>
        <v>0</v>
      </c>
      <c r="E37" s="14">
        <f>IF(班级课程成绩!E37&gt;=60,$M$5,0)</f>
        <v>0</v>
      </c>
      <c r="F37" s="14">
        <f>IF(班级课程成绩!F37&gt;=60,$M$6,0)</f>
        <v>5</v>
      </c>
      <c r="G37" s="14">
        <f>IF(班级课程成绩!G37&gt;=60,$M$7,0)</f>
        <v>2</v>
      </c>
      <c r="H37" s="14">
        <f>IF(班级课程成绩!H37&gt;=60,$M$8,0)</f>
        <v>3</v>
      </c>
      <c r="I37" s="14">
        <f t="shared" si="0"/>
        <v>10</v>
      </c>
      <c r="J37" s="22" t="str">
        <f t="shared" si="1"/>
        <v>B</v>
      </c>
    </row>
    <row r="38" spans="1:10">
      <c r="A38" s="15" t="s">
        <v>13</v>
      </c>
      <c r="B38" s="12">
        <v>2032636</v>
      </c>
      <c r="C38" s="12">
        <f>IF(班级课程成绩!C38&gt;=60,$M$3,0)</f>
        <v>4</v>
      </c>
      <c r="D38" s="12">
        <f>IF(班级课程成绩!D38&gt;=60,$M$4,0)</f>
        <v>3</v>
      </c>
      <c r="E38" s="12">
        <f>IF(班级课程成绩!E38&gt;=60,$M$5,0)</f>
        <v>2</v>
      </c>
      <c r="F38" s="12">
        <f>IF(班级课程成绩!F38&gt;=60,$M$6,0)</f>
        <v>0</v>
      </c>
      <c r="G38" s="12">
        <f>IF(班级课程成绩!G38&gt;=60,$M$7,0)</f>
        <v>2</v>
      </c>
      <c r="H38" s="12">
        <f>IF(班级课程成绩!H38&gt;=60,$M$8,0)</f>
        <v>3</v>
      </c>
      <c r="I38" s="12">
        <f t="shared" si="0"/>
        <v>14</v>
      </c>
      <c r="J38" s="24" t="str">
        <f t="shared" si="1"/>
        <v>B</v>
      </c>
    </row>
    <row r="39" spans="1:10">
      <c r="A39" s="16" t="s">
        <v>13</v>
      </c>
      <c r="B39" s="14">
        <v>2032637</v>
      </c>
      <c r="C39" s="14">
        <f>IF(班级课程成绩!C39&gt;=60,$M$3,0)</f>
        <v>0</v>
      </c>
      <c r="D39" s="14">
        <f>IF(班级课程成绩!D39&gt;=60,$M$4,0)</f>
        <v>3</v>
      </c>
      <c r="E39" s="14">
        <f>IF(班级课程成绩!E39&gt;=60,$M$5,0)</f>
        <v>0</v>
      </c>
      <c r="F39" s="14">
        <f>IF(班级课程成绩!F39&gt;=60,$M$6,0)</f>
        <v>0</v>
      </c>
      <c r="G39" s="14">
        <f>IF(班级课程成绩!G39&gt;=60,$M$7,0)</f>
        <v>2</v>
      </c>
      <c r="H39" s="14">
        <f>IF(班级课程成绩!H39&gt;=60,$M$8,0)</f>
        <v>3</v>
      </c>
      <c r="I39" s="14">
        <f t="shared" si="0"/>
        <v>8</v>
      </c>
      <c r="J39" s="22" t="str">
        <f t="shared" si="1"/>
        <v>C</v>
      </c>
    </row>
    <row r="40" spans="1:10">
      <c r="A40" s="17" t="s">
        <v>13</v>
      </c>
      <c r="B40" s="18">
        <v>2032638</v>
      </c>
      <c r="C40" s="18">
        <f>IF(班级课程成绩!C40&gt;=60,$M$3,0)</f>
        <v>4</v>
      </c>
      <c r="D40" s="18">
        <f>IF(班级课程成绩!D40&gt;=60,$M$4,0)</f>
        <v>0</v>
      </c>
      <c r="E40" s="18">
        <f>IF(班级课程成绩!E40&gt;=60,$M$5,0)</f>
        <v>2</v>
      </c>
      <c r="F40" s="18">
        <f>IF(班级课程成绩!F40&gt;=60,$M$6,0)</f>
        <v>5</v>
      </c>
      <c r="G40" s="18">
        <f>IF(班级课程成绩!G40&gt;=60,$M$7,0)</f>
        <v>2</v>
      </c>
      <c r="H40" s="18">
        <f>IF(班级课程成绩!H40&gt;=60,$M$8,0)</f>
        <v>3</v>
      </c>
      <c r="I40" s="18">
        <f t="shared" si="0"/>
        <v>16</v>
      </c>
      <c r="J40" s="26" t="str">
        <f t="shared" si="1"/>
        <v>A</v>
      </c>
    </row>
  </sheetData>
  <mergeCells count="1">
    <mergeCell ref="L11:M11"/>
  </mergeCells>
  <conditionalFormatting sqref="J3:J40">
    <cfRule type="cellIs" dxfId="2" priority="1" operator="equal">
      <formula>"A"</formula>
    </cfRule>
  </conditionalFormatting>
  <pageMargins left="0.708661417322835" right="0.708661417322835" top="0.748031496062992" bottom="0.748031496062992" header="0.31496062992126" footer="0.31496062992126"/>
  <pageSetup paperSize="9" scale="9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130" zoomScaleNormal="130" workbookViewId="0">
      <selection activeCell="I20" sqref="I20"/>
    </sheetView>
  </sheetViews>
  <sheetFormatPr defaultColWidth="9" defaultRowHeight="14.25" outlineLevelCol="6"/>
  <cols>
    <col min="1" max="1" width="20.625" style="1" customWidth="1"/>
    <col min="2" max="2" width="15.375" style="2" customWidth="1"/>
    <col min="3" max="16384" width="9" style="2"/>
  </cols>
  <sheetData>
    <row r="1" ht="30.75" customHeight="1" spans="1:2">
      <c r="A1" s="9" t="s">
        <v>17</v>
      </c>
      <c r="B1" s="9" t="s">
        <v>18</v>
      </c>
    </row>
    <row r="2" ht="20.1" customHeight="1" spans="1:2">
      <c r="A2" s="9" t="s">
        <v>28</v>
      </c>
      <c r="B2" s="9">
        <v>2</v>
      </c>
    </row>
    <row r="3" ht="20.1" customHeight="1" spans="1:7">
      <c r="A3" s="9" t="s">
        <v>29</v>
      </c>
      <c r="B3" s="9">
        <v>1</v>
      </c>
      <c r="D3"/>
      <c r="E3"/>
      <c r="F3"/>
      <c r="G3"/>
    </row>
    <row r="4" ht="20.1" customHeight="1" spans="1:7">
      <c r="A4" s="9" t="s">
        <v>3</v>
      </c>
      <c r="B4" s="9">
        <v>4</v>
      </c>
      <c r="D4"/>
      <c r="E4"/>
      <c r="F4"/>
      <c r="G4"/>
    </row>
    <row r="5" ht="20.1" customHeight="1" spans="1:7">
      <c r="A5" s="9" t="s">
        <v>30</v>
      </c>
      <c r="B5" s="9">
        <v>2</v>
      </c>
      <c r="D5"/>
      <c r="E5"/>
      <c r="F5"/>
      <c r="G5"/>
    </row>
    <row r="6" ht="20.1" customHeight="1" spans="1:2">
      <c r="A6" s="9" t="s">
        <v>31</v>
      </c>
      <c r="B6" s="9">
        <v>3</v>
      </c>
    </row>
    <row r="7" ht="20.1" customHeight="1" spans="1:2">
      <c r="A7" s="9" t="s">
        <v>32</v>
      </c>
      <c r="B7" s="9">
        <v>4</v>
      </c>
    </row>
    <row r="8" ht="20.1" customHeight="1" spans="1:7">
      <c r="A8" s="9" t="s">
        <v>8</v>
      </c>
      <c r="B8" s="9">
        <v>3</v>
      </c>
      <c r="D8"/>
      <c r="E8"/>
      <c r="F8"/>
      <c r="G8"/>
    </row>
    <row r="9" ht="20.1" customHeight="1" spans="1:2">
      <c r="A9" s="9" t="s">
        <v>33</v>
      </c>
      <c r="B9" s="9">
        <v>5</v>
      </c>
    </row>
    <row r="10" ht="20.1" customHeight="1" spans="1:2">
      <c r="A10" s="9" t="s">
        <v>34</v>
      </c>
      <c r="B10" s="9">
        <v>2</v>
      </c>
    </row>
    <row r="11" ht="20.1" customHeight="1" spans="1:7">
      <c r="A11" s="9" t="s">
        <v>5</v>
      </c>
      <c r="B11" s="9">
        <v>2</v>
      </c>
      <c r="D11"/>
      <c r="E11"/>
      <c r="F11"/>
      <c r="G11"/>
    </row>
    <row r="12" ht="20.1" customHeight="1" spans="1:2">
      <c r="A12" s="9" t="s">
        <v>35</v>
      </c>
      <c r="B12" s="9">
        <v>4</v>
      </c>
    </row>
    <row r="13" ht="20.1" customHeight="1" spans="1:2">
      <c r="A13" s="9" t="s">
        <v>36</v>
      </c>
      <c r="B13" s="9">
        <v>1</v>
      </c>
    </row>
    <row r="14" ht="20.1" customHeight="1" spans="1:2">
      <c r="A14" s="9" t="s">
        <v>37</v>
      </c>
      <c r="B14" s="9">
        <v>2</v>
      </c>
    </row>
    <row r="15" ht="20.1" customHeight="1" spans="1:7">
      <c r="A15" s="9" t="s">
        <v>4</v>
      </c>
      <c r="B15" s="9">
        <v>3</v>
      </c>
      <c r="D15"/>
      <c r="E15"/>
      <c r="F15"/>
      <c r="G15"/>
    </row>
    <row r="16" ht="20.1" customHeight="1" spans="1:2">
      <c r="A16" s="9" t="s">
        <v>38</v>
      </c>
      <c r="B16" s="9">
        <v>2</v>
      </c>
    </row>
    <row r="17" ht="20.1" customHeight="1" spans="1:2">
      <c r="A17" s="9" t="s">
        <v>39</v>
      </c>
      <c r="B17" s="9">
        <v>4</v>
      </c>
    </row>
    <row r="18" ht="20.1" customHeight="1" spans="1:2">
      <c r="A18" s="9" t="s">
        <v>40</v>
      </c>
      <c r="B18" s="9">
        <v>3</v>
      </c>
    </row>
    <row r="19" ht="20.1" customHeight="1" spans="1:7">
      <c r="A19" s="9" t="s">
        <v>6</v>
      </c>
      <c r="B19" s="9">
        <v>5</v>
      </c>
      <c r="D19"/>
      <c r="E19"/>
      <c r="F19"/>
      <c r="G19"/>
    </row>
    <row r="20" ht="20.1" customHeight="1" spans="1:2">
      <c r="A20" s="9" t="s">
        <v>41</v>
      </c>
      <c r="B20" s="9">
        <v>1</v>
      </c>
    </row>
    <row r="21" ht="20.1" customHeight="1" spans="1:2">
      <c r="A21" s="9" t="s">
        <v>42</v>
      </c>
      <c r="B21" s="9">
        <v>2</v>
      </c>
    </row>
    <row r="22" ht="20.1" customHeight="1" spans="1:7">
      <c r="A22" s="9" t="s">
        <v>7</v>
      </c>
      <c r="B22" s="9">
        <v>2</v>
      </c>
      <c r="D22"/>
      <c r="E22"/>
      <c r="F22"/>
      <c r="G22"/>
    </row>
    <row r="23" ht="20.1" customHeight="1" spans="1:2">
      <c r="A23" s="9" t="s">
        <v>43</v>
      </c>
      <c r="B23" s="9">
        <v>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zoomScale="130" zoomScaleNormal="130" workbookViewId="0">
      <selection activeCell="M10" sqref="M10"/>
    </sheetView>
  </sheetViews>
  <sheetFormatPr defaultColWidth="9" defaultRowHeight="14.25"/>
  <cols>
    <col min="1" max="1" width="6.625" style="2" customWidth="1"/>
    <col min="2" max="2" width="10.625" style="2" customWidth="1"/>
    <col min="3" max="4" width="9" style="2" customWidth="1"/>
    <col min="5" max="5" width="13" style="2" customWidth="1"/>
    <col min="6" max="7" width="9" style="2" customWidth="1"/>
    <col min="8" max="8" width="13.875" style="2" customWidth="1"/>
    <col min="9" max="9" width="10.125" style="2" customWidth="1"/>
    <col min="10" max="10" width="8.625" style="2" customWidth="1"/>
    <col min="11" max="16384" width="9" style="2"/>
  </cols>
  <sheetData>
    <row r="1" spans="1:1">
      <c r="A1" s="2" t="s">
        <v>0</v>
      </c>
    </row>
    <row r="2" s="1" customFormat="1" spans="1:10">
      <c r="A2" s="3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2" t="s">
        <v>9</v>
      </c>
      <c r="J2" s="3" t="s">
        <v>10</v>
      </c>
    </row>
    <row r="3" outlineLevel="2" spans="1:14">
      <c r="A3" s="3" t="s">
        <v>11</v>
      </c>
      <c r="B3" s="5">
        <v>2032602</v>
      </c>
      <c r="C3" s="6">
        <v>90</v>
      </c>
      <c r="D3" s="6">
        <v>87</v>
      </c>
      <c r="E3" s="6">
        <v>91</v>
      </c>
      <c r="F3" s="6">
        <v>92</v>
      </c>
      <c r="G3" s="6">
        <v>90</v>
      </c>
      <c r="H3" s="6">
        <v>86</v>
      </c>
      <c r="I3" s="8">
        <f t="shared" ref="I3:I15" si="0">AVERAGE(C3:H3)</f>
        <v>89.3333333333333</v>
      </c>
      <c r="J3" s="6">
        <f t="shared" ref="J3:J15" si="1">_xlfn.RANK.EQ(I3,$I$3:$I$42,0)</f>
        <v>3</v>
      </c>
      <c r="L3"/>
      <c r="M3"/>
      <c r="N3"/>
    </row>
    <row r="4" outlineLevel="2" spans="1:14">
      <c r="A4" s="3" t="s">
        <v>11</v>
      </c>
      <c r="B4" s="5">
        <v>2032611</v>
      </c>
      <c r="C4" s="6">
        <v>89</v>
      </c>
      <c r="D4" s="6">
        <v>78</v>
      </c>
      <c r="E4" s="6">
        <v>80</v>
      </c>
      <c r="F4" s="6">
        <v>71</v>
      </c>
      <c r="G4" s="6">
        <v>85</v>
      </c>
      <c r="H4" s="6">
        <v>94</v>
      </c>
      <c r="I4" s="8">
        <f t="shared" si="0"/>
        <v>82.8333333333333</v>
      </c>
      <c r="J4" s="6">
        <f t="shared" si="1"/>
        <v>7</v>
      </c>
      <c r="L4"/>
      <c r="M4"/>
      <c r="N4"/>
    </row>
    <row r="5" outlineLevel="2" spans="1:14">
      <c r="A5" s="3" t="s">
        <v>11</v>
      </c>
      <c r="B5" s="5">
        <v>2032612</v>
      </c>
      <c r="C5" s="6">
        <v>71</v>
      </c>
      <c r="D5" s="6">
        <v>73</v>
      </c>
      <c r="E5" s="6">
        <v>81</v>
      </c>
      <c r="F5" s="6">
        <v>61</v>
      </c>
      <c r="G5" s="6">
        <v>85</v>
      </c>
      <c r="H5" s="6">
        <v>85</v>
      </c>
      <c r="I5" s="8">
        <f t="shared" si="0"/>
        <v>76</v>
      </c>
      <c r="J5" s="6">
        <f t="shared" si="1"/>
        <v>10</v>
      </c>
      <c r="L5"/>
      <c r="M5"/>
      <c r="N5"/>
    </row>
    <row r="6" outlineLevel="2" spans="1:14">
      <c r="A6" s="3" t="s">
        <v>11</v>
      </c>
      <c r="B6" s="5">
        <v>2032609</v>
      </c>
      <c r="C6" s="6">
        <v>75</v>
      </c>
      <c r="D6" s="6">
        <v>74</v>
      </c>
      <c r="E6" s="6">
        <v>74</v>
      </c>
      <c r="F6" s="6">
        <v>68</v>
      </c>
      <c r="G6" s="6">
        <v>70</v>
      </c>
      <c r="H6" s="6">
        <v>89</v>
      </c>
      <c r="I6" s="8">
        <f t="shared" si="0"/>
        <v>75</v>
      </c>
      <c r="J6" s="6">
        <f t="shared" si="1"/>
        <v>12</v>
      </c>
      <c r="L6"/>
      <c r="M6"/>
      <c r="N6"/>
    </row>
    <row r="7" outlineLevel="2" spans="1:14">
      <c r="A7" s="3" t="s">
        <v>11</v>
      </c>
      <c r="B7" s="5">
        <v>2032610</v>
      </c>
      <c r="C7" s="6">
        <v>90</v>
      </c>
      <c r="D7" s="6">
        <v>69</v>
      </c>
      <c r="E7" s="6">
        <v>94</v>
      </c>
      <c r="F7" s="6">
        <v>53</v>
      </c>
      <c r="G7" s="6">
        <v>80</v>
      </c>
      <c r="H7" s="6">
        <v>63</v>
      </c>
      <c r="I7" s="8">
        <f t="shared" si="0"/>
        <v>74.8333333333333</v>
      </c>
      <c r="J7" s="6">
        <f t="shared" si="1"/>
        <v>13</v>
      </c>
      <c r="L7"/>
      <c r="M7"/>
      <c r="N7"/>
    </row>
    <row r="8" outlineLevel="2" spans="1:14">
      <c r="A8" s="3" t="s">
        <v>11</v>
      </c>
      <c r="B8" s="5">
        <v>2032607</v>
      </c>
      <c r="C8" s="6">
        <v>65</v>
      </c>
      <c r="D8" s="6">
        <v>87</v>
      </c>
      <c r="E8" s="6">
        <v>77</v>
      </c>
      <c r="F8" s="6">
        <v>63</v>
      </c>
      <c r="G8" s="6">
        <v>70</v>
      </c>
      <c r="H8" s="6">
        <v>70</v>
      </c>
      <c r="I8" s="8">
        <f t="shared" si="0"/>
        <v>72</v>
      </c>
      <c r="J8" s="6">
        <f t="shared" si="1"/>
        <v>16</v>
      </c>
      <c r="L8"/>
      <c r="M8"/>
      <c r="N8"/>
    </row>
    <row r="9" outlineLevel="2" spans="1:10">
      <c r="A9" s="3" t="s">
        <v>11</v>
      </c>
      <c r="B9" s="5">
        <v>2032606</v>
      </c>
      <c r="C9" s="6">
        <v>60</v>
      </c>
      <c r="D9" s="6">
        <v>80</v>
      </c>
      <c r="E9" s="6">
        <v>76</v>
      </c>
      <c r="F9" s="6">
        <v>75</v>
      </c>
      <c r="G9" s="6">
        <v>60</v>
      </c>
      <c r="H9" s="6">
        <v>60</v>
      </c>
      <c r="I9" s="8">
        <f t="shared" si="0"/>
        <v>68.5</v>
      </c>
      <c r="J9" s="6">
        <f t="shared" si="1"/>
        <v>17</v>
      </c>
    </row>
    <row r="10" outlineLevel="2" spans="1:10">
      <c r="A10" s="3" t="s">
        <v>11</v>
      </c>
      <c r="B10" s="5">
        <v>2032605</v>
      </c>
      <c r="C10" s="6">
        <v>70</v>
      </c>
      <c r="D10" s="6">
        <v>71</v>
      </c>
      <c r="E10" s="6">
        <v>70</v>
      </c>
      <c r="F10" s="6">
        <v>62</v>
      </c>
      <c r="G10" s="6">
        <v>60</v>
      </c>
      <c r="H10" s="6">
        <v>63</v>
      </c>
      <c r="I10" s="8">
        <f t="shared" si="0"/>
        <v>66</v>
      </c>
      <c r="J10" s="6">
        <f t="shared" si="1"/>
        <v>19</v>
      </c>
    </row>
    <row r="11" outlineLevel="2" spans="1:10">
      <c r="A11" s="3" t="s">
        <v>11</v>
      </c>
      <c r="B11" s="5">
        <v>2032603</v>
      </c>
      <c r="C11" s="6">
        <v>63</v>
      </c>
      <c r="D11" s="6">
        <v>76</v>
      </c>
      <c r="E11" s="6">
        <v>65</v>
      </c>
      <c r="F11" s="6">
        <v>63</v>
      </c>
      <c r="G11" s="6">
        <v>60</v>
      </c>
      <c r="H11" s="6">
        <v>64</v>
      </c>
      <c r="I11" s="8">
        <f t="shared" si="0"/>
        <v>65.1666666666667</v>
      </c>
      <c r="J11" s="6">
        <f t="shared" si="1"/>
        <v>21</v>
      </c>
    </row>
    <row r="12" outlineLevel="2" spans="1:10">
      <c r="A12" s="3" t="s">
        <v>11</v>
      </c>
      <c r="B12" s="5">
        <v>2032601</v>
      </c>
      <c r="C12" s="6">
        <v>53</v>
      </c>
      <c r="D12" s="6">
        <v>74</v>
      </c>
      <c r="E12" s="6">
        <v>45</v>
      </c>
      <c r="F12" s="6">
        <v>60</v>
      </c>
      <c r="G12" s="6">
        <v>60</v>
      </c>
      <c r="H12" s="6">
        <v>29</v>
      </c>
      <c r="I12" s="8">
        <f t="shared" si="0"/>
        <v>53.5</v>
      </c>
      <c r="J12" s="6">
        <f t="shared" si="1"/>
        <v>32</v>
      </c>
    </row>
    <row r="13" outlineLevel="2" spans="1:10">
      <c r="A13" s="3" t="s">
        <v>11</v>
      </c>
      <c r="B13" s="5">
        <v>2032604</v>
      </c>
      <c r="C13" s="6">
        <v>60</v>
      </c>
      <c r="D13" s="6">
        <v>47</v>
      </c>
      <c r="E13" s="6">
        <v>28</v>
      </c>
      <c r="F13" s="6">
        <v>60</v>
      </c>
      <c r="G13" s="6">
        <v>60</v>
      </c>
      <c r="H13" s="6">
        <v>24</v>
      </c>
      <c r="I13" s="8">
        <f t="shared" si="0"/>
        <v>46.5</v>
      </c>
      <c r="J13" s="6">
        <f t="shared" si="1"/>
        <v>35</v>
      </c>
    </row>
    <row r="14" outlineLevel="2" spans="1:10">
      <c r="A14" s="3" t="s">
        <v>11</v>
      </c>
      <c r="B14" s="5">
        <v>2032608</v>
      </c>
      <c r="C14" s="6">
        <v>42</v>
      </c>
      <c r="D14" s="6">
        <v>41</v>
      </c>
      <c r="E14" s="6">
        <v>38</v>
      </c>
      <c r="F14" s="6">
        <v>60</v>
      </c>
      <c r="G14" s="6">
        <v>60</v>
      </c>
      <c r="H14" s="6">
        <v>2</v>
      </c>
      <c r="I14" s="8">
        <f t="shared" si="0"/>
        <v>40.5</v>
      </c>
      <c r="J14" s="6">
        <f t="shared" si="1"/>
        <v>39</v>
      </c>
    </row>
    <row r="15" outlineLevel="2" spans="1:10">
      <c r="A15" s="3" t="s">
        <v>11</v>
      </c>
      <c r="B15" s="5">
        <v>2032613</v>
      </c>
      <c r="C15" s="6">
        <v>44</v>
      </c>
      <c r="D15" s="6">
        <v>67</v>
      </c>
      <c r="E15" s="6">
        <v>15</v>
      </c>
      <c r="F15" s="6">
        <v>53</v>
      </c>
      <c r="G15" s="6">
        <v>30</v>
      </c>
      <c r="H15" s="6">
        <v>33</v>
      </c>
      <c r="I15" s="8">
        <f t="shared" si="0"/>
        <v>40.3333333333333</v>
      </c>
      <c r="J15" s="6">
        <f t="shared" si="1"/>
        <v>40</v>
      </c>
    </row>
    <row r="16" outlineLevel="1" spans="1:10">
      <c r="A16" s="7" t="s">
        <v>44</v>
      </c>
      <c r="B16" s="5"/>
      <c r="C16" s="6"/>
      <c r="D16" s="6"/>
      <c r="E16" s="6"/>
      <c r="F16" s="6"/>
      <c r="G16" s="6"/>
      <c r="H16" s="6"/>
      <c r="I16" s="8">
        <f>SUBTOTAL(9,I3:I15)</f>
        <v>850.5</v>
      </c>
      <c r="J16" s="6"/>
    </row>
    <row r="17" outlineLevel="2" spans="1:10">
      <c r="A17" s="3" t="s">
        <v>12</v>
      </c>
      <c r="B17" s="5">
        <v>2032627</v>
      </c>
      <c r="C17" s="6">
        <v>97</v>
      </c>
      <c r="D17" s="6">
        <v>77</v>
      </c>
      <c r="E17" s="6">
        <v>85</v>
      </c>
      <c r="F17" s="6">
        <v>76</v>
      </c>
      <c r="G17" s="6">
        <v>90</v>
      </c>
      <c r="H17" s="6">
        <v>86</v>
      </c>
      <c r="I17" s="8">
        <f t="shared" ref="I17:I31" si="2">AVERAGE(C17:H17)</f>
        <v>85.1666666666667</v>
      </c>
      <c r="J17" s="6">
        <f t="shared" ref="J17:J31" si="3">_xlfn.RANK.EQ(I17,$I$3:$I$42,0)</f>
        <v>5</v>
      </c>
    </row>
    <row r="18" outlineLevel="2" spans="1:10">
      <c r="A18" s="3" t="s">
        <v>12</v>
      </c>
      <c r="B18" s="5">
        <v>2032615</v>
      </c>
      <c r="C18" s="6">
        <v>93</v>
      </c>
      <c r="D18" s="6">
        <v>86</v>
      </c>
      <c r="E18" s="6">
        <v>82</v>
      </c>
      <c r="F18" s="6">
        <v>76</v>
      </c>
      <c r="G18" s="6">
        <v>85</v>
      </c>
      <c r="H18" s="6">
        <v>84</v>
      </c>
      <c r="I18" s="8">
        <f t="shared" si="2"/>
        <v>84.3333333333333</v>
      </c>
      <c r="J18" s="6">
        <f t="shared" si="3"/>
        <v>6</v>
      </c>
    </row>
    <row r="19" outlineLevel="2" spans="1:10">
      <c r="A19" s="3" t="s">
        <v>12</v>
      </c>
      <c r="B19" s="5">
        <v>2032620</v>
      </c>
      <c r="C19" s="6">
        <v>86</v>
      </c>
      <c r="D19" s="6">
        <v>81</v>
      </c>
      <c r="E19" s="6">
        <v>83</v>
      </c>
      <c r="F19" s="6">
        <v>75</v>
      </c>
      <c r="G19" s="6">
        <v>60</v>
      </c>
      <c r="H19" s="6">
        <v>86</v>
      </c>
      <c r="I19" s="8">
        <f t="shared" si="2"/>
        <v>78.5</v>
      </c>
      <c r="J19" s="6">
        <f t="shared" si="3"/>
        <v>8</v>
      </c>
    </row>
    <row r="20" outlineLevel="2" spans="1:10">
      <c r="A20" s="3" t="s">
        <v>12</v>
      </c>
      <c r="B20" s="5">
        <v>2032626</v>
      </c>
      <c r="C20" s="6">
        <v>88</v>
      </c>
      <c r="D20" s="6">
        <v>86</v>
      </c>
      <c r="E20" s="6">
        <v>88</v>
      </c>
      <c r="F20" s="6">
        <v>61</v>
      </c>
      <c r="G20" s="6">
        <v>65</v>
      </c>
      <c r="H20" s="6">
        <v>78</v>
      </c>
      <c r="I20" s="8">
        <f t="shared" si="2"/>
        <v>77.6666666666667</v>
      </c>
      <c r="J20" s="6">
        <f t="shared" si="3"/>
        <v>9</v>
      </c>
    </row>
    <row r="21" outlineLevel="2" spans="1:10">
      <c r="A21" s="3" t="s">
        <v>12</v>
      </c>
      <c r="B21" s="5">
        <v>2032618</v>
      </c>
      <c r="C21" s="6">
        <v>85</v>
      </c>
      <c r="D21" s="6">
        <v>77</v>
      </c>
      <c r="E21" s="6">
        <v>81</v>
      </c>
      <c r="F21" s="6">
        <v>60</v>
      </c>
      <c r="G21" s="6">
        <v>60</v>
      </c>
      <c r="H21" s="6">
        <v>93</v>
      </c>
      <c r="I21" s="8">
        <f t="shared" si="2"/>
        <v>76</v>
      </c>
      <c r="J21" s="6">
        <f t="shared" si="3"/>
        <v>10</v>
      </c>
    </row>
    <row r="22" outlineLevel="2" spans="1:10">
      <c r="A22" s="3" t="s">
        <v>12</v>
      </c>
      <c r="B22" s="5">
        <v>2032621</v>
      </c>
      <c r="C22" s="6">
        <v>87</v>
      </c>
      <c r="D22" s="6">
        <v>73</v>
      </c>
      <c r="E22" s="6">
        <v>88</v>
      </c>
      <c r="F22" s="6">
        <v>71</v>
      </c>
      <c r="G22" s="6">
        <v>60</v>
      </c>
      <c r="H22" s="6">
        <v>66</v>
      </c>
      <c r="I22" s="8">
        <f t="shared" si="2"/>
        <v>74.1666666666667</v>
      </c>
      <c r="J22" s="6">
        <f t="shared" si="3"/>
        <v>14</v>
      </c>
    </row>
    <row r="23" outlineLevel="2" spans="1:10">
      <c r="A23" s="3" t="s">
        <v>12</v>
      </c>
      <c r="B23" s="5">
        <v>2032617</v>
      </c>
      <c r="C23" s="6">
        <v>77</v>
      </c>
      <c r="D23" s="6">
        <v>81</v>
      </c>
      <c r="E23" s="6">
        <v>82</v>
      </c>
      <c r="F23" s="6">
        <v>51</v>
      </c>
      <c r="G23" s="6">
        <v>60</v>
      </c>
      <c r="H23" s="6">
        <v>87</v>
      </c>
      <c r="I23" s="8">
        <f t="shared" si="2"/>
        <v>73</v>
      </c>
      <c r="J23" s="6">
        <f t="shared" si="3"/>
        <v>15</v>
      </c>
    </row>
    <row r="24" outlineLevel="2" spans="1:10">
      <c r="A24" s="3" t="s">
        <v>12</v>
      </c>
      <c r="B24" s="5">
        <v>2032622</v>
      </c>
      <c r="C24" s="6">
        <v>78</v>
      </c>
      <c r="D24" s="6">
        <v>83</v>
      </c>
      <c r="E24" s="6">
        <v>62</v>
      </c>
      <c r="F24" s="6">
        <v>50</v>
      </c>
      <c r="G24" s="6">
        <v>60</v>
      </c>
      <c r="H24" s="6">
        <v>66</v>
      </c>
      <c r="I24" s="8">
        <f t="shared" si="2"/>
        <v>66.5</v>
      </c>
      <c r="J24" s="6">
        <f t="shared" si="3"/>
        <v>18</v>
      </c>
    </row>
    <row r="25" outlineLevel="2" spans="1:10">
      <c r="A25" s="3" t="s">
        <v>12</v>
      </c>
      <c r="B25" s="5">
        <v>2032625</v>
      </c>
      <c r="C25" s="6">
        <v>79</v>
      </c>
      <c r="D25" s="6">
        <v>72</v>
      </c>
      <c r="E25" s="6">
        <v>60</v>
      </c>
      <c r="F25" s="6">
        <v>49</v>
      </c>
      <c r="G25" s="6">
        <v>60</v>
      </c>
      <c r="H25" s="6">
        <v>72</v>
      </c>
      <c r="I25" s="8">
        <f t="shared" si="2"/>
        <v>65.3333333333333</v>
      </c>
      <c r="J25" s="6">
        <f t="shared" si="3"/>
        <v>20</v>
      </c>
    </row>
    <row r="26" outlineLevel="2" spans="1:10">
      <c r="A26" s="3" t="s">
        <v>12</v>
      </c>
      <c r="B26" s="5">
        <v>2032619</v>
      </c>
      <c r="C26" s="6">
        <v>73</v>
      </c>
      <c r="D26" s="6">
        <v>70</v>
      </c>
      <c r="E26" s="6">
        <v>60</v>
      </c>
      <c r="F26" s="6">
        <v>66</v>
      </c>
      <c r="G26" s="6">
        <v>60</v>
      </c>
      <c r="H26" s="6">
        <v>61</v>
      </c>
      <c r="I26" s="8">
        <f t="shared" si="2"/>
        <v>65</v>
      </c>
      <c r="J26" s="6">
        <f t="shared" si="3"/>
        <v>22</v>
      </c>
    </row>
    <row r="27" outlineLevel="2" spans="1:10">
      <c r="A27" s="3" t="s">
        <v>12</v>
      </c>
      <c r="B27" s="5">
        <v>2032623</v>
      </c>
      <c r="C27" s="6">
        <v>69</v>
      </c>
      <c r="D27" s="6">
        <v>78</v>
      </c>
      <c r="E27" s="6">
        <v>73</v>
      </c>
      <c r="F27" s="6">
        <v>62</v>
      </c>
      <c r="G27" s="6">
        <v>60</v>
      </c>
      <c r="H27" s="6">
        <v>23</v>
      </c>
      <c r="I27" s="8">
        <f t="shared" si="2"/>
        <v>60.8333333333333</v>
      </c>
      <c r="J27" s="6">
        <f t="shared" si="3"/>
        <v>26</v>
      </c>
    </row>
    <row r="28" outlineLevel="2" spans="1:10">
      <c r="A28" s="3" t="s">
        <v>12</v>
      </c>
      <c r="B28" s="5">
        <v>2032628</v>
      </c>
      <c r="C28" s="6">
        <v>75</v>
      </c>
      <c r="D28" s="6">
        <v>71</v>
      </c>
      <c r="E28" s="6">
        <v>30</v>
      </c>
      <c r="F28" s="6">
        <v>60</v>
      </c>
      <c r="G28" s="6">
        <v>60</v>
      </c>
      <c r="H28" s="6">
        <v>62</v>
      </c>
      <c r="I28" s="8">
        <f t="shared" si="2"/>
        <v>59.6666666666667</v>
      </c>
      <c r="J28" s="6">
        <f t="shared" si="3"/>
        <v>28</v>
      </c>
    </row>
    <row r="29" outlineLevel="2" spans="1:10">
      <c r="A29" s="3" t="s">
        <v>12</v>
      </c>
      <c r="B29" s="5">
        <v>2032616</v>
      </c>
      <c r="C29" s="6">
        <v>67</v>
      </c>
      <c r="D29" s="6">
        <v>78</v>
      </c>
      <c r="E29" s="6">
        <v>39</v>
      </c>
      <c r="F29" s="6">
        <v>63</v>
      </c>
      <c r="G29" s="6">
        <v>60</v>
      </c>
      <c r="H29" s="6">
        <v>29</v>
      </c>
      <c r="I29" s="8">
        <f t="shared" si="2"/>
        <v>56</v>
      </c>
      <c r="J29" s="6">
        <f t="shared" si="3"/>
        <v>29</v>
      </c>
    </row>
    <row r="30" outlineLevel="2" spans="1:10">
      <c r="A30" s="3" t="s">
        <v>12</v>
      </c>
      <c r="B30" s="5">
        <v>2032624</v>
      </c>
      <c r="C30" s="6">
        <v>61</v>
      </c>
      <c r="D30" s="6">
        <v>75</v>
      </c>
      <c r="E30" s="6">
        <v>62</v>
      </c>
      <c r="F30" s="6">
        <v>50</v>
      </c>
      <c r="G30" s="6">
        <v>60</v>
      </c>
      <c r="H30" s="6">
        <v>18</v>
      </c>
      <c r="I30" s="8">
        <f t="shared" si="2"/>
        <v>54.3333333333333</v>
      </c>
      <c r="J30" s="6">
        <f t="shared" si="3"/>
        <v>30</v>
      </c>
    </row>
    <row r="31" outlineLevel="2" spans="1:10">
      <c r="A31" s="3" t="s">
        <v>12</v>
      </c>
      <c r="B31" s="5">
        <v>2032614</v>
      </c>
      <c r="C31" s="6">
        <v>35</v>
      </c>
      <c r="D31" s="6">
        <v>64</v>
      </c>
      <c r="E31" s="6">
        <v>10</v>
      </c>
      <c r="F31" s="6">
        <v>60</v>
      </c>
      <c r="G31" s="6">
        <v>30</v>
      </c>
      <c r="H31" s="6">
        <v>68</v>
      </c>
      <c r="I31" s="8">
        <f t="shared" si="2"/>
        <v>44.5</v>
      </c>
      <c r="J31" s="6">
        <f t="shared" si="3"/>
        <v>36</v>
      </c>
    </row>
    <row r="32" outlineLevel="1" spans="1:10">
      <c r="A32" s="7" t="s">
        <v>45</v>
      </c>
      <c r="B32" s="5"/>
      <c r="C32" s="6"/>
      <c r="D32" s="6"/>
      <c r="E32" s="6"/>
      <c r="F32" s="6"/>
      <c r="G32" s="6"/>
      <c r="H32" s="6"/>
      <c r="I32" s="8">
        <f>SUBTOTAL(9,I17:I31)</f>
        <v>1021</v>
      </c>
      <c r="J32" s="6"/>
    </row>
    <row r="33" outlineLevel="2" spans="1:10">
      <c r="A33" s="3" t="s">
        <v>13</v>
      </c>
      <c r="B33" s="5">
        <v>2032633</v>
      </c>
      <c r="C33" s="6">
        <v>91</v>
      </c>
      <c r="D33" s="6">
        <v>87</v>
      </c>
      <c r="E33" s="6">
        <v>86</v>
      </c>
      <c r="F33" s="6">
        <v>92</v>
      </c>
      <c r="G33" s="6">
        <v>85</v>
      </c>
      <c r="H33" s="6">
        <v>88</v>
      </c>
      <c r="I33" s="8">
        <f t="shared" ref="I33:I42" si="4">AVERAGE(C33:H33)</f>
        <v>88.1666666666667</v>
      </c>
      <c r="J33" s="6">
        <f t="shared" ref="J33:J42" si="5">_xlfn.RANK.EQ(I33,$I$3:$I$42,0)</f>
        <v>4</v>
      </c>
    </row>
    <row r="34" outlineLevel="2" spans="1:10">
      <c r="A34" s="3" t="s">
        <v>13</v>
      </c>
      <c r="B34" s="5">
        <v>2032634</v>
      </c>
      <c r="C34" s="6">
        <v>82</v>
      </c>
      <c r="D34" s="6">
        <v>63</v>
      </c>
      <c r="E34" s="6">
        <v>69</v>
      </c>
      <c r="F34" s="6">
        <v>48</v>
      </c>
      <c r="G34" s="6">
        <v>60</v>
      </c>
      <c r="H34" s="6">
        <v>66</v>
      </c>
      <c r="I34" s="8">
        <f t="shared" si="4"/>
        <v>64.6666666666667</v>
      </c>
      <c r="J34" s="6">
        <f t="shared" si="5"/>
        <v>23</v>
      </c>
    </row>
    <row r="35" outlineLevel="2" spans="1:10">
      <c r="A35" s="3" t="s">
        <v>13</v>
      </c>
      <c r="B35" s="5">
        <v>2032638</v>
      </c>
      <c r="C35" s="6">
        <v>82</v>
      </c>
      <c r="D35" s="6">
        <v>0</v>
      </c>
      <c r="E35" s="6">
        <v>77</v>
      </c>
      <c r="F35" s="6">
        <v>80</v>
      </c>
      <c r="G35" s="6">
        <v>65</v>
      </c>
      <c r="H35" s="6">
        <v>84</v>
      </c>
      <c r="I35" s="8">
        <f t="shared" si="4"/>
        <v>64.6666666666667</v>
      </c>
      <c r="J35" s="6">
        <f t="shared" si="5"/>
        <v>23</v>
      </c>
    </row>
    <row r="36" outlineLevel="2" spans="1:10">
      <c r="A36" s="3" t="s">
        <v>13</v>
      </c>
      <c r="B36" s="5">
        <v>2032632</v>
      </c>
      <c r="C36" s="6">
        <v>78</v>
      </c>
      <c r="D36" s="6">
        <v>61</v>
      </c>
      <c r="E36" s="6">
        <v>47</v>
      </c>
      <c r="F36" s="6">
        <v>60</v>
      </c>
      <c r="G36" s="6">
        <v>60</v>
      </c>
      <c r="H36" s="6">
        <v>62</v>
      </c>
      <c r="I36" s="8">
        <f t="shared" si="4"/>
        <v>61.3333333333333</v>
      </c>
      <c r="J36" s="6">
        <f t="shared" si="5"/>
        <v>25</v>
      </c>
    </row>
    <row r="37" outlineLevel="2" spans="1:10">
      <c r="A37" s="3" t="s">
        <v>13</v>
      </c>
      <c r="B37" s="5">
        <v>2032636</v>
      </c>
      <c r="C37" s="6">
        <v>69</v>
      </c>
      <c r="D37" s="6">
        <v>62</v>
      </c>
      <c r="E37" s="6">
        <v>61</v>
      </c>
      <c r="F37" s="6">
        <v>50</v>
      </c>
      <c r="G37" s="6">
        <v>60</v>
      </c>
      <c r="H37" s="6">
        <v>60</v>
      </c>
      <c r="I37" s="8">
        <f t="shared" si="4"/>
        <v>60.3333333333333</v>
      </c>
      <c r="J37" s="6">
        <f t="shared" si="5"/>
        <v>27</v>
      </c>
    </row>
    <row r="38" outlineLevel="2" spans="1:10">
      <c r="A38" s="3" t="s">
        <v>13</v>
      </c>
      <c r="B38" s="5">
        <v>2032629</v>
      </c>
      <c r="C38" s="6">
        <v>55</v>
      </c>
      <c r="D38" s="6">
        <v>68</v>
      </c>
      <c r="E38" s="6">
        <v>45</v>
      </c>
      <c r="F38" s="6">
        <v>60</v>
      </c>
      <c r="G38" s="6">
        <v>60</v>
      </c>
      <c r="H38" s="6">
        <v>34</v>
      </c>
      <c r="I38" s="8">
        <f t="shared" si="4"/>
        <v>53.6666666666667</v>
      </c>
      <c r="J38" s="6">
        <f t="shared" si="5"/>
        <v>31</v>
      </c>
    </row>
    <row r="39" outlineLevel="2" spans="1:10">
      <c r="A39" s="3" t="s">
        <v>13</v>
      </c>
      <c r="B39" s="5">
        <v>2032637</v>
      </c>
      <c r="C39" s="6">
        <v>0</v>
      </c>
      <c r="D39" s="6">
        <v>75</v>
      </c>
      <c r="E39" s="6">
        <v>54</v>
      </c>
      <c r="F39" s="6">
        <v>51</v>
      </c>
      <c r="G39" s="6">
        <v>60</v>
      </c>
      <c r="H39" s="6">
        <v>61</v>
      </c>
      <c r="I39" s="8">
        <f t="shared" si="4"/>
        <v>50.1666666666667</v>
      </c>
      <c r="J39" s="6">
        <f t="shared" si="5"/>
        <v>33</v>
      </c>
    </row>
    <row r="40" outlineLevel="2" spans="1:10">
      <c r="A40" s="3" t="s">
        <v>13</v>
      </c>
      <c r="B40" s="5">
        <v>2032635</v>
      </c>
      <c r="C40" s="6">
        <v>0</v>
      </c>
      <c r="D40" s="6">
        <v>55</v>
      </c>
      <c r="E40" s="6">
        <v>55</v>
      </c>
      <c r="F40" s="6">
        <v>60</v>
      </c>
      <c r="G40" s="6">
        <v>60</v>
      </c>
      <c r="H40" s="6">
        <v>60</v>
      </c>
      <c r="I40" s="8">
        <f t="shared" si="4"/>
        <v>48.3333333333333</v>
      </c>
      <c r="J40" s="6">
        <f t="shared" si="5"/>
        <v>34</v>
      </c>
    </row>
    <row r="41" outlineLevel="2" spans="1:10">
      <c r="A41" s="3" t="s">
        <v>13</v>
      </c>
      <c r="B41" s="5">
        <v>2032630</v>
      </c>
      <c r="C41" s="6">
        <v>47</v>
      </c>
      <c r="D41" s="6">
        <v>63</v>
      </c>
      <c r="E41" s="6">
        <v>40</v>
      </c>
      <c r="F41" s="6">
        <v>48</v>
      </c>
      <c r="G41" s="6">
        <v>60</v>
      </c>
      <c r="H41" s="6">
        <v>7</v>
      </c>
      <c r="I41" s="8">
        <f t="shared" si="4"/>
        <v>44.1666666666667</v>
      </c>
      <c r="J41" s="6">
        <f t="shared" si="5"/>
        <v>37</v>
      </c>
    </row>
    <row r="42" outlineLevel="2" spans="1:10">
      <c r="A42" s="3" t="s">
        <v>13</v>
      </c>
      <c r="B42" s="5">
        <v>2032631</v>
      </c>
      <c r="C42" s="6">
        <v>38</v>
      </c>
      <c r="D42" s="6">
        <v>70</v>
      </c>
      <c r="E42" s="6">
        <v>28</v>
      </c>
      <c r="F42" s="6">
        <v>47</v>
      </c>
      <c r="G42" s="6">
        <v>60</v>
      </c>
      <c r="H42" s="6">
        <v>22</v>
      </c>
      <c r="I42" s="8">
        <f t="shared" si="4"/>
        <v>44.1666666666667</v>
      </c>
      <c r="J42" s="6">
        <f t="shared" si="5"/>
        <v>37</v>
      </c>
    </row>
    <row r="43" outlineLevel="1" spans="1:10">
      <c r="A43" s="7" t="s">
        <v>46</v>
      </c>
      <c r="B43" s="5"/>
      <c r="C43" s="6"/>
      <c r="D43" s="6"/>
      <c r="E43" s="6"/>
      <c r="F43" s="6"/>
      <c r="G43" s="6"/>
      <c r="H43" s="6"/>
      <c r="I43" s="8">
        <f>SUBTOTAL(9,I33:I42)</f>
        <v>579.666666666667</v>
      </c>
      <c r="J43" s="6"/>
    </row>
    <row r="44" spans="1:10">
      <c r="A44" s="7" t="s">
        <v>47</v>
      </c>
      <c r="B44" s="5"/>
      <c r="C44" s="6"/>
      <c r="D44" s="6"/>
      <c r="E44" s="6"/>
      <c r="F44" s="6"/>
      <c r="G44" s="6"/>
      <c r="H44" s="6"/>
      <c r="I44" s="8">
        <f>SUBTOTAL(9,I3:I42)</f>
        <v>2451.16666666667</v>
      </c>
      <c r="J44" s="6"/>
    </row>
  </sheetData>
  <sortState ref="A3:J40">
    <sortCondition ref="A3:A40"/>
    <sortCondition ref="I3:I40" descending="1"/>
  </sortState>
  <mergeCells count="1">
    <mergeCell ref="A1:J1"/>
  </mergeCells>
  <conditionalFormatting sqref="I3:I44">
    <cfRule type="aboveAverage" dxfId="0" priority="1" aboveAverage="0"/>
    <cfRule type="top10" dxfId="1" priority="2" percent="1" rank="15"/>
  </conditionalFormatting>
  <pageMargins left="0.7" right="0.7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班级课程成绩</vt:lpstr>
      <vt:lpstr>班级课程学分</vt:lpstr>
      <vt:lpstr>课程对应学分</vt:lpstr>
      <vt:lpstr>班级成绩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+_+</cp:lastModifiedBy>
  <dcterms:created xsi:type="dcterms:W3CDTF">2017-09-18T05:57:00Z</dcterms:created>
  <dcterms:modified xsi:type="dcterms:W3CDTF">2024-08-20T01:28:07Z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DE5CEEF349C8410DBA3CDE50886F7B06_12</vt:lpwstr>
  </property>
</Properties>
</file>