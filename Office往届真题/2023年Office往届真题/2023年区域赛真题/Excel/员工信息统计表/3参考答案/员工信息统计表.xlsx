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3745" windowHeight="12255"/>
  </bookViews>
  <sheets>
    <sheet name="员工信息" sheetId="1" r:id="rId1"/>
    <sheet name="学历与基础工资对照表" sheetId="2" r:id="rId2"/>
    <sheet name="销售清单" sheetId="4" r:id="rId3"/>
  </sheets>
  <definedNames>
    <definedName name="_xlnm.Print_Area" localSheetId="2">销售清单!$L$2:$P$12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<sst xmlns="http://schemas.openxmlformats.org/spreadsheetml/2006/main" count="530" uniqueCount="139">
  <si>
    <t>某企业员工信息统计表</t>
  </si>
  <si>
    <t>工号</t>
  </si>
  <si>
    <t>年龄</t>
  </si>
  <si>
    <t>部门</t>
  </si>
  <si>
    <t>学历</t>
  </si>
  <si>
    <t>基础工资（元）</t>
  </si>
  <si>
    <t>绩效工资（元）</t>
  </si>
  <si>
    <t>工资合计（元）</t>
  </si>
  <si>
    <t>A001</t>
  </si>
  <si>
    <t>企划部</t>
  </si>
  <si>
    <t>博士</t>
  </si>
  <si>
    <t>A002</t>
  </si>
  <si>
    <t>硕士</t>
  </si>
  <si>
    <t>统计表1</t>
  </si>
  <si>
    <t>A003</t>
  </si>
  <si>
    <t>本科</t>
  </si>
  <si>
    <t>年龄平均值</t>
  </si>
  <si>
    <t>A004</t>
  </si>
  <si>
    <t>招商部</t>
  </si>
  <si>
    <t>A005</t>
  </si>
  <si>
    <t>A006</t>
  </si>
  <si>
    <t>采购部</t>
  </si>
  <si>
    <t>A007</t>
  </si>
  <si>
    <t>财务部</t>
  </si>
  <si>
    <t>A008</t>
  </si>
  <si>
    <t>A009</t>
  </si>
  <si>
    <t>A010</t>
  </si>
  <si>
    <t>A011</t>
  </si>
  <si>
    <t>A012</t>
  </si>
  <si>
    <t>统计表2</t>
  </si>
  <si>
    <t>A013</t>
  </si>
  <si>
    <t>工资合计范围</t>
  </si>
  <si>
    <t>人数</t>
  </si>
  <si>
    <t>A014</t>
  </si>
  <si>
    <t>&gt;=20000</t>
  </si>
  <si>
    <t>A015</t>
  </si>
  <si>
    <t>&gt;=18000</t>
  </si>
  <si>
    <t>A016</t>
  </si>
  <si>
    <t>&gt;=16000</t>
  </si>
  <si>
    <t>A017</t>
  </si>
  <si>
    <t>&gt;=14000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</si>
  <si>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</si>
  <si>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</si>
  <si>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</si>
  <si>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</si>
  <si>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</si>
  <si>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</si>
  <si>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</si>
  <si>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</si>
  <si>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</si>
  <si>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</si>
  <si>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</si>
  <si>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</si>
  <si>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</si>
  <si>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</si>
  <si>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</si>
  <si>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</si>
  <si>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</si>
  <si>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</si>
  <si>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</si>
  <si>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</si>
  <si>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</si>
  <si>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</si>
  <si>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</si>
  <si>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</si>
  <si>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</si>
  <si>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</si>
  <si>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</si>
  <si>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</si>
  <si>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</si>
  <si>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</si>
  <si>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</si>
  <si>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</si>
  <si>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</si>
  <si>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</si>
  <si>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</si>
  <si>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</si>
  <si>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</si>
  <si>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</si>
  <si>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</si>
  <si>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</si>
  <si>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</si>
  <si>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</si>
  <si>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</si>
  <si>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大专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</si>
  <si>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</si>
  <si>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</si>
  <si>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</si>
  <si>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</si>
  <si>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</si>
  <si>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</si>
  <si>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</si>
  <si>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</si>
  <si>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</si>
  <si>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</si>
  <si>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</si>
  <si>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</si>
  <si>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</si>
  <si>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</si>
  <si>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</si>
  <si>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</si>
  <si>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</si>
  <si>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</si>
  <si>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</si>
  <si>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</si>
  <si>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</si>
  <si>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日期</t>
  </si>
  <si>
    <t>类别</t>
  </si>
  <si>
    <t>商品型号</t>
  </si>
  <si>
    <t>市场定价</t>
  </si>
  <si>
    <t>促销方式</t>
  </si>
  <si>
    <t>成交单价</t>
  </si>
  <si>
    <t>降价幅度</t>
  </si>
  <si>
    <t>数量</t>
  </si>
  <si>
    <t>销售额</t>
  </si>
  <si>
    <t>销售员</t>
  </si>
  <si>
    <t>冰箱</t>
  </si>
  <si>
    <t>海尔II06</t>
  </si>
  <si>
    <t>降价</t>
  </si>
  <si>
    <t>A1</t>
  </si>
  <si>
    <t>求和项:销售额</t>
  </si>
  <si>
    <t>西门子610</t>
  </si>
  <si>
    <t>A2</t>
  </si>
  <si>
    <t>彩电</t>
  </si>
  <si>
    <t>空调</t>
  </si>
  <si>
    <t>总计</t>
  </si>
  <si>
    <t>A3</t>
  </si>
  <si>
    <t>A4</t>
  </si>
  <si>
    <t>A5</t>
  </si>
  <si>
    <t>A6</t>
  </si>
  <si>
    <t>A7</t>
  </si>
  <si>
    <t>A8</t>
  </si>
  <si>
    <t>三星YY01</t>
  </si>
  <si>
    <t>三星A108</t>
  </si>
  <si>
    <t>长虹GDP60</t>
  </si>
  <si>
    <t>送大礼包</t>
  </si>
  <si>
    <t>海尔KTP20</t>
  </si>
  <si>
    <t>美的3110</t>
  </si>
  <si>
    <t>格力7650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</si>
</sst>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  <numFmt numFmtId="177" formatCode="\¥#,##0;\¥\-#,##0"/>
    <numFmt numFmtId="178" formatCode="0_ "/>
  </numFmts>
  <fonts count="30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9" fillId="0" borderId="0"/>
    <xf numFmtId="0" fontId="29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</cellStyleXfs>
  <cellXfs count="34">
    <xf numFmtId="0" fontId="0" fillId="0" borderId="0" xfId="0"/>
    <xf numFmtId="0" fontId="0" fillId="0" borderId="0" xfId="53">
      <alignment vertical="center"/>
    </xf>
    <xf numFmtId="0" fontId="1" fillId="2" borderId="0" xfId="53" applyFont="1" applyFill="1" applyAlignment="1">
      <alignment horizontal="center"/>
    </xf>
    <xf numFmtId="176" fontId="1" fillId="2" borderId="0" xfId="53" applyNumberFormat="1" applyFont="1" applyFill="1" applyAlignment="1">
      <alignment horizontal="center"/>
    </xf>
    <xf numFmtId="14" fontId="2" fillId="0" borderId="0" xfId="53" applyNumberFormat="1" applyFont="1" applyAlignment="1">
      <alignment horizontal="center"/>
    </xf>
    <xf numFmtId="0" fontId="2" fillId="0" borderId="0" xfId="53" applyFont="1" applyAlignment="1">
      <alignment horizontal="center"/>
    </xf>
    <xf numFmtId="176" fontId="2" fillId="0" borderId="0" xfId="53" applyNumberFormat="1" applyFont="1" applyAlignment="1">
      <alignment horizontal="center"/>
    </xf>
    <xf numFmtId="10" fontId="2" fillId="0" borderId="0" xfId="53" applyNumberFormat="1" applyFont="1" applyAlignment="1">
      <alignment horizontal="center"/>
    </xf>
    <xf numFmtId="0" fontId="0" fillId="0" borderId="0" xfId="0" applyAlignment="1">
      <alignment horizontal="left"/>
    </xf>
    <xf numFmtId="177" fontId="0" fillId="0" borderId="0" xfId="0" applyNumberFormat="1"/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1" xfId="13" applyAlignment="1">
      <alignment horizontal="center"/>
    </xf>
    <xf numFmtId="49" fontId="5" fillId="3" borderId="2" xfId="49" applyNumberFormat="1" applyFont="1" applyFill="1" applyBorder="1" applyAlignment="1">
      <alignment horizontal="center" vertical="center" wrapText="1"/>
    </xf>
    <xf numFmtId="0" fontId="5" fillId="3" borderId="2" xfId="49" applyNumberFormat="1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4" borderId="2" xfId="49" applyNumberFormat="1" applyFont="1" applyFill="1" applyBorder="1" applyAlignment="1">
      <alignment horizontal="center" vertical="center"/>
    </xf>
    <xf numFmtId="0" fontId="7" fillId="4" borderId="3" xfId="49" applyNumberFormat="1" applyFont="1" applyFill="1" applyBorder="1" applyAlignment="1">
      <alignment horizontal="center" vertical="center"/>
    </xf>
    <xf numFmtId="49" fontId="8" fillId="0" borderId="2" xfId="49" applyNumberFormat="1" applyFont="1" applyBorder="1" applyAlignment="1">
      <alignment horizontal="center" vertical="center"/>
    </xf>
    <xf numFmtId="0" fontId="8" fillId="0" borderId="2" xfId="49" applyNumberFormat="1" applyFont="1" applyBorder="1" applyAlignment="1">
      <alignment horizontal="center" vertical="center"/>
    </xf>
    <xf numFmtId="0" fontId="8" fillId="0" borderId="3" xfId="49" applyNumberFormat="1" applyFont="1" applyBorder="1" applyAlignment="1">
      <alignment horizontal="center" vertical="center"/>
    </xf>
    <xf numFmtId="0" fontId="3" fillId="0" borderId="0" xfId="0" applyFont="1" applyBorder="1" applyAlignment="1"/>
    <xf numFmtId="0" fontId="3" fillId="0" borderId="0" xfId="0" applyNumberFormat="1" applyFont="1"/>
    <xf numFmtId="0" fontId="3" fillId="0" borderId="4" xfId="0" applyFont="1" applyBorder="1" applyAlignment="1">
      <alignment horizontal="center"/>
    </xf>
    <xf numFmtId="0" fontId="3" fillId="3" borderId="4" xfId="49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0" xfId="0" applyFont="1" applyBorder="1"/>
    <xf numFmtId="0" fontId="8" fillId="0" borderId="4" xfId="49" applyFont="1" applyBorder="1" applyAlignment="1">
      <alignment horizontal="center" vertical="center"/>
    </xf>
    <xf numFmtId="178" fontId="3" fillId="0" borderId="4" xfId="0" applyNumberFormat="1" applyFont="1" applyBorder="1"/>
    <xf numFmtId="0" fontId="9" fillId="0" borderId="4" xfId="0" applyFont="1" applyBorder="1"/>
    <xf numFmtId="49" fontId="8" fillId="0" borderId="5" xfId="49" applyNumberFormat="1" applyFont="1" applyBorder="1" applyAlignment="1">
      <alignment horizontal="center" vertical="center"/>
    </xf>
    <xf numFmtId="0" fontId="8" fillId="0" borderId="5" xfId="49" applyNumberFormat="1" applyFont="1" applyBorder="1" applyAlignment="1">
      <alignment horizontal="center" vertical="center"/>
    </xf>
    <xf numFmtId="0" fontId="8" fillId="0" borderId="4" xfId="49" applyNumberFormat="1" applyFont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鹎%U龡&amp;H?_x0008__x001c__x001c_?_x0007__x0001__x0001_" xfId="49"/>
    <cellStyle name="常规 2" xfId="50"/>
    <cellStyle name="常规 2 2" xfId="51"/>
    <cellStyle name="常规 3" xfId="52"/>
    <cellStyle name="常规 4" xfId="53"/>
  </cellStyles>
  <dxfs count="3">
    <dxf>
      <numFmt numFmtId="177" formatCode="\¥#,##0;\¥\-#,##0"/>
    </dxf>
    <dxf>
      <fill>
        <patternFill patternType="none"/>
      </fill>
    </dxf>
    <dxf>
      <fill>
        <patternFill patternType="lightHorizontal">
          <f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统计图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员工信息!$K$15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multiLvlStrRef>
              <c:f>员工信息!$I$16:$J$19</c:f>
              <c:multiLvlStrCache>
                <c:ptCount val="4"/>
                <c:lvl>
                  <c:pt idx="0">
                    <c:v>招商部</c:v>
                  </c:pt>
                  <c:pt idx="1">
                    <c:v>企划部</c:v>
                  </c:pt>
                  <c:pt idx="2">
                    <c:v>采购部</c:v>
                  </c:pt>
                  <c:pt idx="3">
                    <c:v>财务部</c:v>
                  </c:pt>
                </c:lvl>
                <c:lvl>
                  <c:pt idx="0">
                    <c:v>&gt;=20000</c:v>
                  </c:pt>
                  <c:pt idx="1">
                    <c:v>&gt;=18000</c:v>
                  </c:pt>
                  <c:pt idx="2">
                    <c:v>&gt;=16000</c:v>
                  </c:pt>
                  <c:pt idx="3">
                    <c:v>&gt;=14000</c:v>
                  </c:pt>
                </c:lvl>
              </c:multiLvlStrCache>
            </c:multiLvlStrRef>
          </c:cat>
          <c:val>
            <c:numRef>
              <c:f>员工信息!$K$16:$K$19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6311104"/>
        <c:axId val="586306512"/>
      </c:barChart>
      <c:catAx>
        <c:axId val="58631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306512"/>
        <c:crosses val="autoZero"/>
        <c:auto val="1"/>
        <c:lblAlgn val="ctr"/>
        <c:lblOffset val="100"/>
        <c:noMultiLvlLbl val="0"/>
      </c:catAx>
      <c:valAx>
        <c:axId val="58630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311104"/>
        <c:crosses val="autoZero"/>
        <c:crossBetween val="between"/>
      </c:valAx>
      <c:spPr>
        <a:pattFill prst="dotGrid">
          <a:fgClr>
            <a:schemeClr val="accent1"/>
          </a:fgClr>
          <a:bgClr>
            <a:schemeClr val="bg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38100</xdr:colOff>
      <xdr:row>21</xdr:row>
      <xdr:rowOff>61911</xdr:rowOff>
    </xdr:from>
    <xdr:to>
      <xdr:col>11</xdr:col>
      <xdr:colOff>609600</xdr:colOff>
      <xdr:row>34</xdr:row>
      <xdr:rowOff>133350</xdr:rowOff>
    </xdr:to>
    <xdr:graphicFrame>
      <xdr:nvGraphicFramePr>
        <xdr:cNvPr id="2" name="图表 1"/>
        <xdr:cNvGraphicFramePr/>
      </xdr:nvGraphicFramePr>
      <xdr:xfrm>
        <a:off x="7029450" y="3890645"/>
        <a:ext cx="3390900" cy="2424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215.654769213" refreshedBy="PC" recordCount="57">
  <cacheSource type="worksheet">
    <worksheetSource ref="A1:J58" sheet="销售清单"/>
  </cacheSource>
  <cacheFields count="10">
    <cacheField name="日期" numFmtId="14"/>
    <cacheField name="类别" numFmtId="0">
      <sharedItems count="3">
        <s v="冰箱"/>
        <s v="彩电"/>
        <s v="空调"/>
      </sharedItems>
    </cacheField>
    <cacheField name="商品型号" numFmtId="0"/>
    <cacheField name="市场定价" numFmtId="176"/>
    <cacheField name="促销方式" numFmtId="0"/>
    <cacheField name="成交单价" numFmtId="176"/>
    <cacheField name="降价幅度" numFmtId="10"/>
    <cacheField name="数量" numFmtId="0"/>
    <cacheField name="销售额" numFmtId="176"/>
    <cacheField name="销售员" numFmtId="0">
      <sharedItems count="8">
        <s v="A1"/>
        <s v="A2"/>
        <s v="A4"/>
        <s v="A5"/>
        <s v="A3"/>
        <s v="A6"/>
        <s v="A7"/>
        <s v="A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">
  <r>
    <d v="2023-05-04T00:00:00"/>
    <x v="0"/>
    <s v="海尔II06"/>
    <n v="2088"/>
    <s v="降价"/>
    <n v="1888"/>
    <n v="9.5785440613026823E-2"/>
    <n v="10"/>
    <n v="18880"/>
    <x v="0"/>
  </r>
  <r>
    <d v="2023-05-11T00:00:00"/>
    <x v="0"/>
    <s v="西门子610"/>
    <n v="1988"/>
    <s v="降价"/>
    <n v="1788"/>
    <n v="0.1006036217303823"/>
    <n v="9"/>
    <n v="16092"/>
    <x v="1"/>
  </r>
  <r>
    <d v="2023-05-05T00:00:00"/>
    <x v="0"/>
    <s v="海尔II06"/>
    <n v="2088"/>
    <s v="降价"/>
    <n v="1888"/>
    <n v="9.5785440613026823E-2"/>
    <n v="6"/>
    <n v="11328"/>
    <x v="0"/>
  </r>
  <r>
    <d v="2023-05-10T00:00:00"/>
    <x v="0"/>
    <s v="西门子610"/>
    <n v="1988"/>
    <s v="降价"/>
    <n v="1788"/>
    <n v="0.1006036217303823"/>
    <n v="5"/>
    <n v="8940"/>
    <x v="1"/>
  </r>
  <r>
    <d v="2023-05-06T00:00:00"/>
    <x v="0"/>
    <s v="海尔II06"/>
    <n v="2088"/>
    <s v="降价"/>
    <n v="1888"/>
    <n v="9.5785440613026823E-2"/>
    <n v="4"/>
    <n v="7552"/>
    <x v="0"/>
  </r>
  <r>
    <d v="2023-05-01T00:00:00"/>
    <x v="0"/>
    <s v="海尔II06"/>
    <n v="2088"/>
    <s v="降价"/>
    <n v="1888"/>
    <n v="9.5785440613026823E-2"/>
    <n v="3"/>
    <n v="5664"/>
    <x v="0"/>
  </r>
  <r>
    <d v="2023-05-25T00:00:00"/>
    <x v="0"/>
    <s v="海尔II06"/>
    <n v="2088"/>
    <s v="降价"/>
    <n v="1888"/>
    <n v="9.5785440613026823E-2"/>
    <n v="3"/>
    <n v="5664"/>
    <x v="2"/>
  </r>
  <r>
    <d v="2023-05-07T00:00:00"/>
    <x v="0"/>
    <s v="海尔II06"/>
    <n v="2088"/>
    <s v="降价"/>
    <n v="1888"/>
    <n v="9.5785440613026823E-2"/>
    <n v="2"/>
    <n v="3776"/>
    <x v="0"/>
  </r>
  <r>
    <d v="2023-05-08T00:00:00"/>
    <x v="0"/>
    <s v="海尔II06"/>
    <n v="2088"/>
    <s v="降价"/>
    <n v="1888"/>
    <n v="9.5785440613026823E-2"/>
    <n v="2"/>
    <n v="3776"/>
    <x v="0"/>
  </r>
  <r>
    <d v="2023-05-09T00:00:00"/>
    <x v="0"/>
    <s v="西门子610"/>
    <n v="1988"/>
    <s v="降价"/>
    <n v="1788"/>
    <n v="0.1006036217303823"/>
    <n v="2"/>
    <n v="3576"/>
    <x v="1"/>
  </r>
  <r>
    <d v="2023-05-12T00:00:00"/>
    <x v="0"/>
    <s v="西门子610"/>
    <n v="1988"/>
    <s v="降价"/>
    <n v="1788"/>
    <n v="0.1006036217303823"/>
    <n v="2"/>
    <n v="3576"/>
    <x v="1"/>
  </r>
  <r>
    <d v="2023-05-13T00:00:00"/>
    <x v="0"/>
    <s v="西门子610"/>
    <n v="1988"/>
    <s v="降价"/>
    <n v="1788"/>
    <n v="0.1006036217303823"/>
    <n v="1"/>
    <n v="1788"/>
    <x v="1"/>
  </r>
  <r>
    <d v="2023-05-15T00:00:00"/>
    <x v="0"/>
    <s v="西门子610"/>
    <n v="1988"/>
    <s v="降价"/>
    <n v="1788"/>
    <n v="0.1006036217303823"/>
    <n v="1"/>
    <n v="1788"/>
    <x v="1"/>
  </r>
  <r>
    <d v="2023-05-14T00:00:00"/>
    <x v="0"/>
    <s v="西门子610"/>
    <n v="1988"/>
    <s v="降价"/>
    <n v="1788"/>
    <n v="0.1006036217303823"/>
    <n v="0"/>
    <n v="0"/>
    <x v="1"/>
  </r>
  <r>
    <d v="2023-05-02T00:00:00"/>
    <x v="1"/>
    <s v="三星YY01"/>
    <n v="4688"/>
    <s v="降价"/>
    <n v="4088"/>
    <n v="0.12798634812286688"/>
    <n v="12"/>
    <n v="49056"/>
    <x v="0"/>
  </r>
  <r>
    <d v="2023-06-03T00:00:00"/>
    <x v="1"/>
    <s v="三星YY01"/>
    <n v="4688"/>
    <s v="降价"/>
    <n v="4088"/>
    <n v="0.12798634812286688"/>
    <n v="12"/>
    <n v="49056"/>
    <x v="3"/>
  </r>
  <r>
    <d v="2023-06-02T00:00:00"/>
    <x v="1"/>
    <s v="三星YY01"/>
    <n v="4688"/>
    <s v="降价"/>
    <n v="4088"/>
    <n v="0.12798634812286688"/>
    <n v="10"/>
    <n v="40880"/>
    <x v="3"/>
  </r>
  <r>
    <d v="2023-05-20T00:00:00"/>
    <x v="1"/>
    <s v="三星A108"/>
    <n v="2688"/>
    <s v="降价"/>
    <n v="2388"/>
    <n v="0.11160714285714286"/>
    <n v="9"/>
    <n v="21492"/>
    <x v="4"/>
  </r>
  <r>
    <d v="2023-05-17T00:00:00"/>
    <x v="1"/>
    <s v="三星A108"/>
    <n v="2688"/>
    <s v="降价"/>
    <n v="2388"/>
    <n v="0.11160714285714286"/>
    <n v="8"/>
    <n v="19104"/>
    <x v="4"/>
  </r>
  <r>
    <d v="2023-05-19T00:00:00"/>
    <x v="1"/>
    <s v="三星A108"/>
    <n v="2688"/>
    <s v="降价"/>
    <n v="2388"/>
    <n v="0.11160714285714286"/>
    <n v="8"/>
    <n v="19104"/>
    <x v="4"/>
  </r>
  <r>
    <d v="2023-06-01T00:00:00"/>
    <x v="1"/>
    <s v="三星YY01"/>
    <n v="4688"/>
    <s v="降价"/>
    <n v="4088"/>
    <n v="0.12798634812286688"/>
    <n v="8"/>
    <n v="32704"/>
    <x v="3"/>
  </r>
  <r>
    <d v="2023-05-26T00:00:00"/>
    <x v="1"/>
    <s v="长虹GDP60"/>
    <n v="1988"/>
    <s v="送大礼包"/>
    <n v="1988"/>
    <n v="0"/>
    <n v="7"/>
    <n v="13916"/>
    <x v="2"/>
  </r>
  <r>
    <d v="2023-06-04T00:00:00"/>
    <x v="1"/>
    <s v="三星YY01"/>
    <n v="4688"/>
    <s v="降价"/>
    <n v="4088"/>
    <n v="0.12798634812286688"/>
    <n v="6"/>
    <n v="24528"/>
    <x v="3"/>
  </r>
  <r>
    <d v="2023-06-08T00:00:00"/>
    <x v="1"/>
    <s v="长虹GDP60"/>
    <n v="1988"/>
    <s v="送大礼包"/>
    <n v="1988"/>
    <n v="0"/>
    <n v="6"/>
    <n v="11928"/>
    <x v="5"/>
  </r>
  <r>
    <d v="2023-05-21T00:00:00"/>
    <x v="1"/>
    <s v="三星A108"/>
    <n v="2688"/>
    <s v="降价"/>
    <n v="2388"/>
    <n v="0.11160714285714286"/>
    <n v="5"/>
    <n v="11940"/>
    <x v="4"/>
  </r>
  <r>
    <d v="2023-06-05T00:00:00"/>
    <x v="1"/>
    <s v="三星YY01"/>
    <n v="4688"/>
    <s v="降价"/>
    <n v="4088"/>
    <n v="0.12798634812286688"/>
    <n v="4"/>
    <n v="16352"/>
    <x v="3"/>
  </r>
  <r>
    <d v="2023-05-16T00:00:00"/>
    <x v="1"/>
    <s v="三星A108"/>
    <n v="2688"/>
    <s v="降价"/>
    <n v="2388"/>
    <n v="0.11160714285714286"/>
    <n v="3"/>
    <n v="7164"/>
    <x v="4"/>
  </r>
  <r>
    <d v="2023-05-27T00:00:00"/>
    <x v="1"/>
    <s v="长虹GDP60"/>
    <n v="1988"/>
    <s v="送大礼包"/>
    <n v="1988"/>
    <n v="0"/>
    <n v="3"/>
    <n v="5964"/>
    <x v="2"/>
  </r>
  <r>
    <d v="2023-06-06T00:00:00"/>
    <x v="1"/>
    <s v="三星YY01"/>
    <n v="4688"/>
    <s v="降价"/>
    <n v="4088"/>
    <n v="0.12798634812286688"/>
    <n v="3"/>
    <n v="12264"/>
    <x v="3"/>
  </r>
  <r>
    <d v="2023-05-22T00:00:00"/>
    <x v="1"/>
    <s v="三星A108"/>
    <n v="2688"/>
    <s v="降价"/>
    <n v="2388"/>
    <n v="0.11160714285714286"/>
    <n v="2"/>
    <n v="4776"/>
    <x v="4"/>
  </r>
  <r>
    <d v="2023-05-24T00:00:00"/>
    <x v="1"/>
    <s v="长虹GDP60"/>
    <n v="1988"/>
    <s v="送大礼包"/>
    <n v="1988"/>
    <n v="0"/>
    <n v="2"/>
    <n v="3976"/>
    <x v="2"/>
  </r>
  <r>
    <d v="2023-05-23T00:00:00"/>
    <x v="1"/>
    <s v="三星A108"/>
    <n v="2688"/>
    <s v="降价"/>
    <n v="2388"/>
    <n v="0.11160714285714286"/>
    <n v="1"/>
    <n v="2388"/>
    <x v="4"/>
  </r>
  <r>
    <d v="2023-05-28T00:00:00"/>
    <x v="1"/>
    <s v="长虹GDP60"/>
    <n v="1988"/>
    <s v="送大礼包"/>
    <n v="1988"/>
    <n v="0"/>
    <n v="1"/>
    <n v="1988"/>
    <x v="2"/>
  </r>
  <r>
    <d v="2023-05-30T00:00:00"/>
    <x v="1"/>
    <s v="长虹GDP60"/>
    <n v="1988"/>
    <s v="送大礼包"/>
    <n v="1988"/>
    <n v="0"/>
    <n v="1"/>
    <n v="1988"/>
    <x v="2"/>
  </r>
  <r>
    <d v="2023-05-31T00:00:00"/>
    <x v="1"/>
    <s v="三星YY01"/>
    <n v="4688"/>
    <s v="降价"/>
    <n v="4088"/>
    <n v="0.12798634812286688"/>
    <n v="1"/>
    <n v="4088"/>
    <x v="3"/>
  </r>
  <r>
    <d v="2023-05-29T00:00:00"/>
    <x v="1"/>
    <s v="长虹GDP60"/>
    <n v="1988"/>
    <s v="送大礼包"/>
    <n v="1988"/>
    <n v="0"/>
    <n v="0"/>
    <n v="0"/>
    <x v="2"/>
  </r>
  <r>
    <d v="2023-06-16T00:00:00"/>
    <x v="2"/>
    <s v="海尔KTP20"/>
    <n v="3688"/>
    <s v="降价"/>
    <n v="2988"/>
    <n v="0.18980477223427331"/>
    <n v="15"/>
    <n v="44820"/>
    <x v="6"/>
  </r>
  <r>
    <d v="2023-06-22T00:00:00"/>
    <x v="2"/>
    <s v="美的3110"/>
    <n v="3188"/>
    <s v="降价"/>
    <n v="2888"/>
    <n v="9.4102885821831864E-2"/>
    <n v="12"/>
    <n v="34656"/>
    <x v="7"/>
  </r>
  <r>
    <d v="2023-06-09T00:00:00"/>
    <x v="2"/>
    <s v="海尔KTP20"/>
    <n v="3688"/>
    <s v="降价"/>
    <n v="2988"/>
    <n v="0.18980477223427331"/>
    <n v="10"/>
    <n v="29880"/>
    <x v="5"/>
  </r>
  <r>
    <d v="2023-06-17T00:00:00"/>
    <x v="2"/>
    <s v="海尔KTP20"/>
    <n v="3688"/>
    <s v="降价"/>
    <n v="2988"/>
    <n v="0.18980477223427331"/>
    <n v="10"/>
    <n v="29880"/>
    <x v="6"/>
  </r>
  <r>
    <d v="2023-06-23T00:00:00"/>
    <x v="2"/>
    <s v="美的3110"/>
    <n v="3188"/>
    <s v="降价"/>
    <n v="2888"/>
    <n v="9.4102885821831864E-2"/>
    <n v="8"/>
    <n v="23104"/>
    <x v="7"/>
  </r>
  <r>
    <d v="2023-05-03T00:00:00"/>
    <x v="2"/>
    <s v="美的3110"/>
    <n v="3188"/>
    <s v="降价"/>
    <n v="2888"/>
    <n v="9.4102885821831864E-2"/>
    <n v="6"/>
    <n v="17328"/>
    <x v="0"/>
  </r>
  <r>
    <d v="2023-06-10T00:00:00"/>
    <x v="2"/>
    <s v="格力7650"/>
    <n v="2988"/>
    <s v="送大礼包"/>
    <n v="2988"/>
    <n v="0"/>
    <n v="6"/>
    <n v="17928"/>
    <x v="5"/>
  </r>
  <r>
    <d v="2023-06-18T00:00:00"/>
    <x v="2"/>
    <s v="海尔KTP20"/>
    <n v="3688"/>
    <s v="降价"/>
    <n v="2988"/>
    <n v="0.18980477223427331"/>
    <n v="6"/>
    <n v="17928"/>
    <x v="6"/>
  </r>
  <r>
    <d v="2023-06-24T00:00:00"/>
    <x v="2"/>
    <s v="美的3110"/>
    <n v="3188"/>
    <s v="降价"/>
    <n v="2888"/>
    <n v="9.4102885821831864E-2"/>
    <n v="5"/>
    <n v="14440"/>
    <x v="7"/>
  </r>
  <r>
    <d v="2023-06-15T00:00:00"/>
    <x v="2"/>
    <s v="海尔KTP20"/>
    <n v="3688"/>
    <s v="降价"/>
    <n v="2988"/>
    <n v="0.18980477223427331"/>
    <n v="4"/>
    <n v="11952"/>
    <x v="6"/>
  </r>
  <r>
    <d v="2023-06-26T00:00:00"/>
    <x v="2"/>
    <s v="美的3110"/>
    <n v="3188"/>
    <s v="降价"/>
    <n v="2888"/>
    <n v="9.4102885821831864E-2"/>
    <n v="4"/>
    <n v="11552"/>
    <x v="7"/>
  </r>
  <r>
    <d v="2023-05-18T00:00:00"/>
    <x v="2"/>
    <s v="格力7650"/>
    <n v="2988"/>
    <s v="送大礼包"/>
    <n v="2988"/>
    <n v="0"/>
    <n v="3"/>
    <n v="8964"/>
    <x v="4"/>
  </r>
  <r>
    <d v="2023-06-11T00:00:00"/>
    <x v="2"/>
    <s v="格力7650"/>
    <n v="2988"/>
    <s v="送大礼包"/>
    <n v="2988"/>
    <n v="0"/>
    <n v="3"/>
    <n v="8964"/>
    <x v="5"/>
  </r>
  <r>
    <d v="2023-06-21T00:00:00"/>
    <x v="2"/>
    <s v="美的3110"/>
    <n v="3188"/>
    <s v="降价"/>
    <n v="2888"/>
    <n v="9.4102885821831864E-2"/>
    <n v="3"/>
    <n v="8664"/>
    <x v="7"/>
  </r>
  <r>
    <d v="2023-06-25T00:00:00"/>
    <x v="2"/>
    <s v="美的3110"/>
    <n v="3188"/>
    <s v="降价"/>
    <n v="2888"/>
    <n v="9.4102885821831864E-2"/>
    <n v="3"/>
    <n v="8664"/>
    <x v="7"/>
  </r>
  <r>
    <d v="2023-06-07T00:00:00"/>
    <x v="2"/>
    <s v="格力7650"/>
    <n v="2988"/>
    <s v="送大礼包"/>
    <n v="2988"/>
    <n v="0"/>
    <n v="2"/>
    <n v="5976"/>
    <x v="5"/>
  </r>
  <r>
    <d v="2023-06-13T00:00:00"/>
    <x v="2"/>
    <s v="格力7650"/>
    <n v="2988"/>
    <s v="送大礼包"/>
    <n v="2988"/>
    <n v="0"/>
    <n v="2"/>
    <n v="5976"/>
    <x v="5"/>
  </r>
  <r>
    <d v="2023-06-19T00:00:00"/>
    <x v="2"/>
    <s v="海尔KTP20"/>
    <n v="3688"/>
    <s v="降价"/>
    <n v="2988"/>
    <n v="0.18980477223427331"/>
    <n v="2"/>
    <n v="5976"/>
    <x v="6"/>
  </r>
  <r>
    <d v="2023-06-12T00:00:00"/>
    <x v="2"/>
    <s v="格力7650"/>
    <n v="2988"/>
    <s v="送大礼包"/>
    <n v="2988"/>
    <n v="0"/>
    <n v="0"/>
    <n v="0"/>
    <x v="5"/>
  </r>
  <r>
    <d v="2023-06-14T00:00:00"/>
    <x v="2"/>
    <s v="格力7650"/>
    <n v="2988"/>
    <s v="送大礼包"/>
    <n v="2988"/>
    <n v="0"/>
    <n v="0"/>
    <n v="0"/>
    <x v="5"/>
  </r>
  <r>
    <d v="2023-06-20T00:00:00"/>
    <x v="2"/>
    <s v="海尔KTP20"/>
    <n v="3688"/>
    <s v="降价"/>
    <n v="2988"/>
    <n v="0.18980477223427331"/>
    <n v="0"/>
    <n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6" minRefreshableVersion="3" createdVersion="6" useAutoFormatting="1" indent="0" outline="1" outlineData="1" showDrill="1" multipleFieldFilters="0" rowHeaderCaption="销售员" colHeaderCaption="类别">
  <location ref="L2:P12" firstHeaderRow="1" firstDataRow="2" firstDataCol="1"/>
  <pivotFields count="10">
    <pivotField numFmtId="14" showAll="0"/>
    <pivotField axis="axisCol" showAll="0">
      <items count="4">
        <item x="0"/>
        <item x="1"/>
        <item x="2"/>
        <item t="default"/>
      </items>
    </pivotField>
    <pivotField showAll="0"/>
    <pivotField numFmtId="176" showAll="0"/>
    <pivotField showAll="0"/>
    <pivotField numFmtId="176" showAll="0"/>
    <pivotField numFmtId="10" showAll="0"/>
    <pivotField showAll="0"/>
    <pivotField dataField="1" numFmtId="176" showAll="0"/>
    <pivotField axis="axisRow" showAll="0">
      <items count="9">
        <item x="0"/>
        <item x="1"/>
        <item x="4"/>
        <item x="2"/>
        <item x="3"/>
        <item x="5"/>
        <item x="6"/>
        <item x="7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求和项:销售额" fld="8" baseField="0" baseItem="0" numFmtId="177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"/>
  <sheetViews>
    <sheetView tabSelected="1" zoomScale="85" zoomScaleNormal="85" workbookViewId="0">
      <selection activeCell="S24" sqref="S24"/>
    </sheetView>
  </sheetViews>
  <sheetFormatPr defaultColWidth="8.75" defaultRowHeight="14.25"/>
  <cols>
    <col min="1" max="1" width="8.75" style="11"/>
    <col min="2" max="2" width="6.75" style="11" customWidth="1"/>
    <col min="3" max="3" width="8.75" style="11"/>
    <col min="4" max="4" width="8.875" style="11" customWidth="1"/>
    <col min="5" max="7" width="16.625" style="12" customWidth="1"/>
    <col min="8" max="8" width="8.75" style="11"/>
    <col min="9" max="9" width="12.5" style="11" customWidth="1"/>
    <col min="10" max="10" width="12.375" style="11" customWidth="1"/>
    <col min="11" max="11" width="12.125" style="11" customWidth="1"/>
    <col min="12" max="16384" width="8.75" style="11"/>
  </cols>
  <sheetData>
    <row r="1" ht="15.75" spans="1:7">
      <c r="A1" s="13" t="s">
        <v>0</v>
      </c>
      <c r="B1" s="13"/>
      <c r="C1" s="13"/>
      <c r="D1" s="13"/>
      <c r="E1" s="13"/>
      <c r="F1" s="13"/>
      <c r="G1" s="13"/>
    </row>
    <row r="2" ht="15" spans="1:7">
      <c r="A2" s="14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7" t="s">
        <v>6</v>
      </c>
      <c r="G2" s="18" t="s">
        <v>7</v>
      </c>
    </row>
    <row r="3" spans="1:7">
      <c r="A3" s="19" t="s">
        <v>8</v>
      </c>
      <c r="B3" s="20">
        <v>59</v>
      </c>
      <c r="C3" s="20" t="s">
        <v>9</v>
      </c>
      <c r="D3" s="20" t="s">
        <v>10</v>
      </c>
      <c r="E3" s="20">
        <f>VLOOKUP(D3,学历与基础工资对照表!$A$1:$B$5,2,0)</f>
        <v>15000</v>
      </c>
      <c r="F3" s="20">
        <v>6000</v>
      </c>
      <c r="G3" s="21">
        <f>SUM(E3:F3)</f>
        <v>21000</v>
      </c>
    </row>
    <row r="4" spans="1:11">
      <c r="A4" s="19" t="s">
        <v>11</v>
      </c>
      <c r="B4" s="20">
        <v>58</v>
      </c>
      <c r="C4" s="20" t="s">
        <v>9</v>
      </c>
      <c r="D4" s="20" t="s">
        <v>12</v>
      </c>
      <c r="E4" s="20">
        <f>VLOOKUP(D4,学历与基础工资对照表!$A$1:$B$5,2,0)</f>
        <v>12000</v>
      </c>
      <c r="F4" s="20">
        <v>8200</v>
      </c>
      <c r="G4" s="21">
        <f t="shared" ref="G4:G67" si="0">SUM(E4:F4)</f>
        <v>20200</v>
      </c>
      <c r="H4" s="22"/>
      <c r="I4" s="24" t="s">
        <v>13</v>
      </c>
      <c r="J4" s="24"/>
      <c r="K4" s="22"/>
    </row>
    <row r="5" spans="1:11">
      <c r="A5" s="19" t="s">
        <v>14</v>
      </c>
      <c r="B5" s="20">
        <v>43</v>
      </c>
      <c r="C5" s="20" t="s">
        <v>9</v>
      </c>
      <c r="D5" s="20" t="s">
        <v>15</v>
      </c>
      <c r="E5" s="20">
        <f>VLOOKUP(D5,学历与基础工资对照表!$A$1:$B$5,2,0)</f>
        <v>9000</v>
      </c>
      <c r="F5" s="20">
        <v>3500</v>
      </c>
      <c r="G5" s="21">
        <f t="shared" si="0"/>
        <v>12500</v>
      </c>
      <c r="I5" s="25" t="s">
        <v>3</v>
      </c>
      <c r="J5" s="26" t="s">
        <v>16</v>
      </c>
      <c r="K5" s="27"/>
    </row>
    <row r="6" spans="1:10">
      <c r="A6" s="19" t="s">
        <v>17</v>
      </c>
      <c r="B6" s="20">
        <v>36</v>
      </c>
      <c r="C6" s="20" t="s">
        <v>9</v>
      </c>
      <c r="D6" s="20" t="s">
        <v>15</v>
      </c>
      <c r="E6" s="20">
        <f>VLOOKUP(D6,学历与基础工资对照表!$A$1:$B$5,2,0)</f>
        <v>9000</v>
      </c>
      <c r="F6" s="20">
        <v>7200</v>
      </c>
      <c r="G6" s="21">
        <f t="shared" si="0"/>
        <v>16200</v>
      </c>
      <c r="I6" s="28" t="s">
        <v>18</v>
      </c>
      <c r="J6" s="29">
        <f>AVERAGEIF($C$3:$C$83,I6,$B$3:$B$83)</f>
        <v>44.2758620689655</v>
      </c>
    </row>
    <row r="7" spans="1:10">
      <c r="A7" s="19" t="s">
        <v>19</v>
      </c>
      <c r="B7" s="20">
        <v>40</v>
      </c>
      <c r="C7" s="20" t="s">
        <v>9</v>
      </c>
      <c r="D7" s="20" t="s">
        <v>12</v>
      </c>
      <c r="E7" s="20">
        <f>VLOOKUP(D7,学历与基础工资对照表!$A$1:$B$5,2,0)</f>
        <v>12000</v>
      </c>
      <c r="F7" s="20">
        <v>4800</v>
      </c>
      <c r="G7" s="21">
        <f t="shared" si="0"/>
        <v>16800</v>
      </c>
      <c r="I7" s="28" t="s">
        <v>9</v>
      </c>
      <c r="J7" s="29">
        <f t="shared" ref="J7:J9" si="1">AVERAGEIF($C$3:$C$83,I7,$B$3:$B$83)</f>
        <v>48.3846153846154</v>
      </c>
    </row>
    <row r="8" spans="1:10">
      <c r="A8" s="19" t="s">
        <v>20</v>
      </c>
      <c r="B8" s="20">
        <v>40</v>
      </c>
      <c r="C8" s="20" t="s">
        <v>21</v>
      </c>
      <c r="D8" s="20" t="s">
        <v>15</v>
      </c>
      <c r="E8" s="20">
        <f>VLOOKUP(D8,学历与基础工资对照表!$A$1:$B$5,2,0)</f>
        <v>9000</v>
      </c>
      <c r="F8" s="20">
        <v>4900</v>
      </c>
      <c r="G8" s="21">
        <f t="shared" si="0"/>
        <v>13900</v>
      </c>
      <c r="I8" s="28" t="s">
        <v>21</v>
      </c>
      <c r="J8" s="29">
        <f t="shared" si="1"/>
        <v>45.15</v>
      </c>
    </row>
    <row r="9" spans="1:10">
      <c r="A9" s="19" t="s">
        <v>22</v>
      </c>
      <c r="B9" s="20">
        <v>40</v>
      </c>
      <c r="C9" s="20" t="s">
        <v>21</v>
      </c>
      <c r="D9" s="20" t="s">
        <v>12</v>
      </c>
      <c r="E9" s="20">
        <f>VLOOKUP(D9,学历与基础工资对照表!$A$1:$B$5,2,0)</f>
        <v>12000</v>
      </c>
      <c r="F9" s="20">
        <v>3100</v>
      </c>
      <c r="G9" s="21">
        <f t="shared" si="0"/>
        <v>15100</v>
      </c>
      <c r="I9" s="28" t="s">
        <v>23</v>
      </c>
      <c r="J9" s="29">
        <f t="shared" si="1"/>
        <v>47.8333333333333</v>
      </c>
    </row>
    <row r="10" spans="1:7">
      <c r="A10" s="19" t="s">
        <v>24</v>
      </c>
      <c r="B10" s="20">
        <v>51</v>
      </c>
      <c r="C10" s="20" t="s">
        <v>21</v>
      </c>
      <c r="D10" s="20" t="s">
        <v>15</v>
      </c>
      <c r="E10" s="20">
        <f>VLOOKUP(D10,学历与基础工资对照表!$A$1:$B$5,2,0)</f>
        <v>9000</v>
      </c>
      <c r="F10" s="20">
        <v>8090</v>
      </c>
      <c r="G10" s="21">
        <f t="shared" si="0"/>
        <v>17090</v>
      </c>
    </row>
    <row r="11" spans="1:10">
      <c r="A11" s="19" t="s">
        <v>25</v>
      </c>
      <c r="B11" s="20">
        <v>45</v>
      </c>
      <c r="C11" s="20" t="s">
        <v>21</v>
      </c>
      <c r="D11" s="20" t="s">
        <v>15</v>
      </c>
      <c r="E11" s="20">
        <f>VLOOKUP(D11,学历与基础工资对照表!$A$1:$B$5,2,0)</f>
        <v>9000</v>
      </c>
      <c r="F11" s="20">
        <v>1800</v>
      </c>
      <c r="G11" s="21">
        <f t="shared" si="0"/>
        <v>10800</v>
      </c>
      <c r="I11"/>
      <c r="J11"/>
    </row>
    <row r="12" spans="1:10">
      <c r="A12" s="19" t="s">
        <v>26</v>
      </c>
      <c r="B12" s="20">
        <v>42</v>
      </c>
      <c r="C12" s="20" t="s">
        <v>21</v>
      </c>
      <c r="D12" s="20" t="s">
        <v>12</v>
      </c>
      <c r="E12" s="20">
        <f>VLOOKUP(D12,学历与基础工资对照表!$A$1:$B$5,2,0)</f>
        <v>12000</v>
      </c>
      <c r="F12" s="20">
        <v>6000</v>
      </c>
      <c r="G12" s="21">
        <f t="shared" si="0"/>
        <v>18000</v>
      </c>
      <c r="I12"/>
      <c r="J12"/>
    </row>
    <row r="13" spans="1:7">
      <c r="A13" s="19" t="s">
        <v>27</v>
      </c>
      <c r="B13" s="20">
        <v>50</v>
      </c>
      <c r="C13" s="20" t="s">
        <v>21</v>
      </c>
      <c r="D13" s="20" t="s">
        <v>15</v>
      </c>
      <c r="E13" s="20">
        <f>VLOOKUP(D13,学历与基础工资对照表!$A$1:$B$5,2,0)</f>
        <v>9000</v>
      </c>
      <c r="F13" s="20">
        <v>4600</v>
      </c>
      <c r="G13" s="21">
        <f t="shared" si="0"/>
        <v>13600</v>
      </c>
    </row>
    <row r="14" spans="1:11">
      <c r="A14" s="19" t="s">
        <v>28</v>
      </c>
      <c r="B14" s="20">
        <v>51</v>
      </c>
      <c r="C14" s="20" t="s">
        <v>21</v>
      </c>
      <c r="D14" s="20" t="s">
        <v>15</v>
      </c>
      <c r="E14" s="20">
        <f>VLOOKUP(D14,学历与基础工资对照表!$A$1:$B$5,2,0)</f>
        <v>9000</v>
      </c>
      <c r="F14" s="20">
        <v>7300</v>
      </c>
      <c r="G14" s="21">
        <f t="shared" si="0"/>
        <v>16300</v>
      </c>
      <c r="I14" s="24" t="s">
        <v>29</v>
      </c>
      <c r="J14" s="24"/>
      <c r="K14" s="24"/>
    </row>
    <row r="15" spans="1:11">
      <c r="A15" s="19" t="s">
        <v>30</v>
      </c>
      <c r="B15" s="20">
        <v>44</v>
      </c>
      <c r="C15" s="20" t="s">
        <v>23</v>
      </c>
      <c r="D15" s="20" t="s">
        <v>12</v>
      </c>
      <c r="E15" s="20">
        <f>VLOOKUP(D15,学历与基础工资对照表!$A$1:$B$5,2,0)</f>
        <v>12000</v>
      </c>
      <c r="F15" s="20">
        <v>4300</v>
      </c>
      <c r="G15" s="21">
        <f t="shared" si="0"/>
        <v>16300</v>
      </c>
      <c r="I15" s="30" t="s">
        <v>31</v>
      </c>
      <c r="J15" s="25" t="s">
        <v>3</v>
      </c>
      <c r="K15" s="24" t="s">
        <v>32</v>
      </c>
    </row>
    <row r="16" spans="1:11">
      <c r="A16" s="19" t="s">
        <v>33</v>
      </c>
      <c r="B16" s="20">
        <v>53</v>
      </c>
      <c r="C16" s="20" t="s">
        <v>23</v>
      </c>
      <c r="D16" s="20" t="s">
        <v>15</v>
      </c>
      <c r="E16" s="20">
        <f>VLOOKUP(D16,学历与基础工资对照表!$A$1:$B$5,2,0)</f>
        <v>9000</v>
      </c>
      <c r="F16" s="20">
        <v>4800</v>
      </c>
      <c r="G16" s="21">
        <f t="shared" si="0"/>
        <v>13800</v>
      </c>
      <c r="I16" s="30" t="s">
        <v>34</v>
      </c>
      <c r="J16" s="28" t="s">
        <v>18</v>
      </c>
      <c r="K16" s="26">
        <f>COUNTIFS($G$3:$G$83,I16,$C$3:$C$83,J16)</f>
        <v>1</v>
      </c>
    </row>
    <row r="17" spans="1:11">
      <c r="A17" s="19" t="s">
        <v>35</v>
      </c>
      <c r="B17" s="20">
        <v>55</v>
      </c>
      <c r="C17" s="20" t="s">
        <v>23</v>
      </c>
      <c r="D17" s="20" t="s">
        <v>15</v>
      </c>
      <c r="E17" s="20">
        <f>VLOOKUP(D17,学历与基础工资对照表!$A$1:$B$5,2,0)</f>
        <v>9000</v>
      </c>
      <c r="F17" s="20">
        <v>9090</v>
      </c>
      <c r="G17" s="21">
        <f t="shared" si="0"/>
        <v>18090</v>
      </c>
      <c r="I17" s="30" t="s">
        <v>36</v>
      </c>
      <c r="J17" s="28" t="s">
        <v>9</v>
      </c>
      <c r="K17" s="26">
        <f t="shared" ref="K17:K19" si="2">COUNTIFS($G$3:$G$83,I17,$C$3:$C$83,J17)</f>
        <v>4</v>
      </c>
    </row>
    <row r="18" spans="1:11">
      <c r="A18" s="19" t="s">
        <v>37</v>
      </c>
      <c r="B18" s="20">
        <v>55</v>
      </c>
      <c r="C18" s="20" t="s">
        <v>23</v>
      </c>
      <c r="D18" s="20" t="s">
        <v>12</v>
      </c>
      <c r="E18" s="20">
        <f>VLOOKUP(D18,学历与基础工资对照表!$A$1:$B$5,2,0)</f>
        <v>12000</v>
      </c>
      <c r="F18" s="20">
        <v>7500</v>
      </c>
      <c r="G18" s="21">
        <f t="shared" si="0"/>
        <v>19500</v>
      </c>
      <c r="I18" s="30" t="s">
        <v>38</v>
      </c>
      <c r="J18" s="28" t="s">
        <v>21</v>
      </c>
      <c r="K18" s="26">
        <f t="shared" si="2"/>
        <v>5</v>
      </c>
    </row>
    <row r="19" spans="1:11">
      <c r="A19" s="19" t="s">
        <v>39</v>
      </c>
      <c r="B19" s="20">
        <v>28</v>
      </c>
      <c r="C19" s="20" t="s">
        <v>23</v>
      </c>
      <c r="D19" s="20" t="s">
        <v>15</v>
      </c>
      <c r="E19" s="20">
        <f>VLOOKUP(D19,学历与基础工资对照表!$A$1:$B$5,2,0)</f>
        <v>9000</v>
      </c>
      <c r="F19" s="20">
        <v>4600</v>
      </c>
      <c r="G19" s="21">
        <f t="shared" si="0"/>
        <v>13600</v>
      </c>
      <c r="I19" s="30" t="s">
        <v>40</v>
      </c>
      <c r="J19" s="28" t="s">
        <v>23</v>
      </c>
      <c r="K19" s="26">
        <f t="shared" si="2"/>
        <v>3</v>
      </c>
    </row>
    <row r="20" spans="1:7">
      <c r="A20" s="19" t="s">
        <v>41</v>
      </c>
      <c r="B20" s="20">
        <v>52</v>
      </c>
      <c r="C20" s="20" t="s">
        <v>23</v>
      </c>
      <c r="D20" s="20" t="s">
        <v>15</v>
      </c>
      <c r="E20" s="20">
        <f>VLOOKUP(D20,学历与基础工资对照表!$A$1:$B$5,2,0)</f>
        <v>9000</v>
      </c>
      <c r="F20" s="20">
        <v>2890</v>
      </c>
      <c r="G20" s="21">
        <f t="shared" si="0"/>
        <v>11890</v>
      </c>
    </row>
    <row r="21" spans="1:7">
      <c r="A21" s="19" t="s">
        <v>42</v>
      </c>
      <c r="B21" s="20">
        <v>42</v>
      </c>
      <c r="C21" s="20" t="s">
        <v>18</v>
      </c>
      <c r="D21" s="20" t="s">
        <v>15</v>
      </c>
      <c r="E21" s="20">
        <f>VLOOKUP(D21,学历与基础工资对照表!$A$1:$B$5,2,0)</f>
        <v>9000</v>
      </c>
      <c r="F21" s="20">
        <v>3100</v>
      </c>
      <c r="G21" s="21">
        <f t="shared" si="0"/>
        <v>12100</v>
      </c>
    </row>
    <row r="22" spans="1:7">
      <c r="A22" s="19" t="s">
        <v>43</v>
      </c>
      <c r="B22" s="20">
        <v>37</v>
      </c>
      <c r="C22" s="20" t="s">
        <v>18</v>
      </c>
      <c r="D22" s="20" t="s">
        <v>10</v>
      </c>
      <c r="E22" s="20">
        <f>VLOOKUP(D22,学历与基础工资对照表!$A$1:$B$5,2,0)</f>
        <v>15000</v>
      </c>
      <c r="F22" s="20">
        <v>4100</v>
      </c>
      <c r="G22" s="21">
        <f t="shared" si="0"/>
        <v>19100</v>
      </c>
    </row>
    <row r="23" spans="1:7">
      <c r="A23" s="19" t="s">
        <v>44</v>
      </c>
      <c r="B23" s="20">
        <v>54</v>
      </c>
      <c r="C23" s="20" t="s">
        <v>18</v>
      </c>
      <c r="D23" s="20" t="s">
        <v>15</v>
      </c>
      <c r="E23" s="20">
        <f>VLOOKUP(D23,学历与基础工资对照表!$A$1:$B$5,2,0)</f>
        <v>9000</v>
      </c>
      <c r="F23" s="20">
        <v>3890</v>
      </c>
      <c r="G23" s="21">
        <f t="shared" si="0"/>
        <v>12890</v>
      </c>
    </row>
    <row r="24" spans="1:7">
      <c r="A24" s="19" t="s">
        <v>45</v>
      </c>
      <c r="B24" s="20">
        <v>54</v>
      </c>
      <c r="C24" s="20" t="s">
        <v>18</v>
      </c>
      <c r="D24" s="20" t="s">
        <v>12</v>
      </c>
      <c r="E24" s="20">
        <f>VLOOKUP(D24,学历与基础工资对照表!$A$1:$B$5,2,0)</f>
        <v>12000</v>
      </c>
      <c r="F24" s="20">
        <v>4800</v>
      </c>
      <c r="G24" s="21">
        <f t="shared" si="0"/>
        <v>16800</v>
      </c>
    </row>
    <row r="25" spans="1:7">
      <c r="A25" s="19" t="s">
        <v>46</v>
      </c>
      <c r="B25" s="20">
        <v>40</v>
      </c>
      <c r="C25" s="20" t="s">
        <v>18</v>
      </c>
      <c r="D25" s="20" t="s">
        <v>15</v>
      </c>
      <c r="E25" s="20">
        <f>VLOOKUP(D25,学历与基础工资对照表!$A$1:$B$5,2,0)</f>
        <v>9000</v>
      </c>
      <c r="F25" s="20">
        <v>6600</v>
      </c>
      <c r="G25" s="21">
        <f t="shared" si="0"/>
        <v>15600</v>
      </c>
    </row>
    <row r="26" spans="1:7">
      <c r="A26" s="19" t="s">
        <v>47</v>
      </c>
      <c r="B26" s="20">
        <v>37</v>
      </c>
      <c r="C26" s="20" t="s">
        <v>18</v>
      </c>
      <c r="D26" s="20" t="s">
        <v>10</v>
      </c>
      <c r="E26" s="20">
        <f>VLOOKUP(D26,学历与基础工资对照表!$A$1:$B$5,2,0)</f>
        <v>15000</v>
      </c>
      <c r="F26" s="20">
        <v>4600</v>
      </c>
      <c r="G26" s="21">
        <f t="shared" si="0"/>
        <v>19600</v>
      </c>
    </row>
    <row r="27" spans="1:7">
      <c r="A27" s="19" t="s">
        <v>48</v>
      </c>
      <c r="B27" s="20">
        <v>44</v>
      </c>
      <c r="C27" s="20" t="s">
        <v>18</v>
      </c>
      <c r="D27" s="20" t="s">
        <v>15</v>
      </c>
      <c r="E27" s="20">
        <f>VLOOKUP(D27,学历与基础工资对照表!$A$1:$B$5,2,0)</f>
        <v>9000</v>
      </c>
      <c r="F27" s="20">
        <v>3900</v>
      </c>
      <c r="G27" s="21">
        <f t="shared" si="0"/>
        <v>12900</v>
      </c>
    </row>
    <row r="28" spans="1:8">
      <c r="A28" s="19" t="s">
        <v>49</v>
      </c>
      <c r="B28" s="20">
        <v>42</v>
      </c>
      <c r="C28" s="20" t="s">
        <v>18</v>
      </c>
      <c r="D28" s="20" t="s">
        <v>12</v>
      </c>
      <c r="E28" s="20">
        <f>VLOOKUP(D28,学历与基础工资对照表!$A$1:$B$5,2,0)</f>
        <v>12000</v>
      </c>
      <c r="F28" s="20">
        <v>6980</v>
      </c>
      <c r="G28" s="21">
        <f t="shared" si="0"/>
        <v>18980</v>
      </c>
      <c r="H28" s="23"/>
    </row>
    <row r="29" spans="1:8">
      <c r="A29" s="19" t="s">
        <v>50</v>
      </c>
      <c r="B29" s="20">
        <v>41</v>
      </c>
      <c r="C29" s="20" t="s">
        <v>18</v>
      </c>
      <c r="D29" s="20" t="s">
        <v>15</v>
      </c>
      <c r="E29" s="20">
        <f>VLOOKUP(D29,学历与基础工资对照表!$A$1:$B$5,2,0)</f>
        <v>9000</v>
      </c>
      <c r="F29" s="20">
        <v>5980</v>
      </c>
      <c r="G29" s="21">
        <f t="shared" si="0"/>
        <v>14980</v>
      </c>
      <c r="H29" s="23"/>
    </row>
    <row r="30" spans="1:8">
      <c r="A30" s="19" t="s">
        <v>51</v>
      </c>
      <c r="B30" s="20">
        <v>61</v>
      </c>
      <c r="C30" s="20" t="s">
        <v>21</v>
      </c>
      <c r="D30" s="20" t="s">
        <v>12</v>
      </c>
      <c r="E30" s="20">
        <f>VLOOKUP(D30,学历与基础工资对照表!$A$1:$B$5,2,0)</f>
        <v>12000</v>
      </c>
      <c r="F30" s="20">
        <v>3800</v>
      </c>
      <c r="G30" s="21">
        <f t="shared" si="0"/>
        <v>15800</v>
      </c>
      <c r="H30" s="23"/>
    </row>
    <row r="31" spans="1:8">
      <c r="A31" s="19" t="s">
        <v>52</v>
      </c>
      <c r="B31" s="20">
        <v>37</v>
      </c>
      <c r="C31" s="20" t="s">
        <v>21</v>
      </c>
      <c r="D31" s="20" t="s">
        <v>15</v>
      </c>
      <c r="E31" s="20">
        <f>VLOOKUP(D31,学历与基础工资对照表!$A$1:$B$5,2,0)</f>
        <v>9000</v>
      </c>
      <c r="F31" s="20">
        <v>2100</v>
      </c>
      <c r="G31" s="21">
        <f t="shared" si="0"/>
        <v>11100</v>
      </c>
      <c r="H31" s="23"/>
    </row>
    <row r="32" spans="1:8">
      <c r="A32" s="19" t="s">
        <v>53</v>
      </c>
      <c r="B32" s="20">
        <v>44</v>
      </c>
      <c r="C32" s="20" t="s">
        <v>21</v>
      </c>
      <c r="D32" s="20" t="s">
        <v>15</v>
      </c>
      <c r="E32" s="20">
        <f>VLOOKUP(D32,学历与基础工资对照表!$A$1:$B$5,2,0)</f>
        <v>9000</v>
      </c>
      <c r="F32" s="20">
        <v>7860</v>
      </c>
      <c r="G32" s="21">
        <f t="shared" si="0"/>
        <v>16860</v>
      </c>
      <c r="H32" s="23"/>
    </row>
    <row r="33" spans="1:8">
      <c r="A33" s="19" t="s">
        <v>54</v>
      </c>
      <c r="B33" s="20">
        <v>40</v>
      </c>
      <c r="C33" s="20" t="s">
        <v>21</v>
      </c>
      <c r="D33" s="20" t="s">
        <v>12</v>
      </c>
      <c r="E33" s="20">
        <f>VLOOKUP(D33,学历与基础工资对照表!$A$1:$B$5,2,0)</f>
        <v>12000</v>
      </c>
      <c r="F33" s="20">
        <v>3990</v>
      </c>
      <c r="G33" s="21">
        <f t="shared" si="0"/>
        <v>15990</v>
      </c>
      <c r="H33" s="23"/>
    </row>
    <row r="34" spans="1:8">
      <c r="A34" s="19" t="s">
        <v>55</v>
      </c>
      <c r="B34" s="20">
        <v>42</v>
      </c>
      <c r="C34" s="20" t="s">
        <v>21</v>
      </c>
      <c r="D34" s="20" t="s">
        <v>15</v>
      </c>
      <c r="E34" s="20">
        <f>VLOOKUP(D34,学历与基础工资对照表!$A$1:$B$5,2,0)</f>
        <v>9000</v>
      </c>
      <c r="F34" s="20">
        <v>4680</v>
      </c>
      <c r="G34" s="21">
        <f t="shared" si="0"/>
        <v>13680</v>
      </c>
      <c r="H34" s="23"/>
    </row>
    <row r="35" spans="1:8">
      <c r="A35" s="19" t="s">
        <v>56</v>
      </c>
      <c r="B35" s="20">
        <v>44</v>
      </c>
      <c r="C35" s="20" t="s">
        <v>21</v>
      </c>
      <c r="D35" s="20" t="s">
        <v>15</v>
      </c>
      <c r="E35" s="20">
        <f>VLOOKUP(D35,学历与基础工资对照表!$A$1:$B$5,2,0)</f>
        <v>9000</v>
      </c>
      <c r="F35" s="20">
        <v>3900</v>
      </c>
      <c r="G35" s="21">
        <f t="shared" si="0"/>
        <v>12900</v>
      </c>
      <c r="H35" s="23"/>
    </row>
    <row r="36" spans="1:8">
      <c r="A36" s="19" t="s">
        <v>57</v>
      </c>
      <c r="B36" s="20">
        <v>44</v>
      </c>
      <c r="C36" s="20" t="s">
        <v>21</v>
      </c>
      <c r="D36" s="20" t="s">
        <v>15</v>
      </c>
      <c r="E36" s="20">
        <f>VLOOKUP(D36,学历与基础工资对照表!$A$1:$B$5,2,0)</f>
        <v>9000</v>
      </c>
      <c r="F36" s="20">
        <v>5950</v>
      </c>
      <c r="G36" s="21">
        <f t="shared" si="0"/>
        <v>14950</v>
      </c>
      <c r="H36" s="23"/>
    </row>
    <row r="37" spans="1:8">
      <c r="A37" s="19" t="s">
        <v>58</v>
      </c>
      <c r="B37" s="20">
        <v>55</v>
      </c>
      <c r="C37" s="20" t="s">
        <v>9</v>
      </c>
      <c r="D37" s="20" t="s">
        <v>15</v>
      </c>
      <c r="E37" s="20">
        <f>VLOOKUP(D37,学历与基础工资对照表!$A$1:$B$5,2,0)</f>
        <v>9000</v>
      </c>
      <c r="F37" s="20">
        <v>3100</v>
      </c>
      <c r="G37" s="21">
        <f t="shared" si="0"/>
        <v>12100</v>
      </c>
      <c r="H37" s="23"/>
    </row>
    <row r="38" spans="1:8">
      <c r="A38" s="19" t="s">
        <v>59</v>
      </c>
      <c r="B38" s="20">
        <v>53</v>
      </c>
      <c r="C38" s="20" t="s">
        <v>9</v>
      </c>
      <c r="D38" s="20" t="s">
        <v>15</v>
      </c>
      <c r="E38" s="20">
        <f>VLOOKUP(D38,学历与基础工资对照表!$A$1:$B$5,2,0)</f>
        <v>9000</v>
      </c>
      <c r="F38" s="20">
        <v>3200</v>
      </c>
      <c r="G38" s="21">
        <f t="shared" si="0"/>
        <v>12200</v>
      </c>
      <c r="H38" s="23"/>
    </row>
    <row r="39" spans="1:8">
      <c r="A39" s="19" t="s">
        <v>60</v>
      </c>
      <c r="B39" s="20">
        <v>51</v>
      </c>
      <c r="C39" s="20" t="s">
        <v>9</v>
      </c>
      <c r="D39" s="20" t="s">
        <v>15</v>
      </c>
      <c r="E39" s="20">
        <f>VLOOKUP(D39,学历与基础工资对照表!$A$1:$B$5,2,0)</f>
        <v>9000</v>
      </c>
      <c r="F39" s="20">
        <v>7300</v>
      </c>
      <c r="G39" s="21">
        <f t="shared" si="0"/>
        <v>16300</v>
      </c>
      <c r="H39" s="23"/>
    </row>
    <row r="40" spans="1:8">
      <c r="A40" s="19" t="s">
        <v>61</v>
      </c>
      <c r="B40" s="20">
        <v>50</v>
      </c>
      <c r="C40" s="20" t="s">
        <v>9</v>
      </c>
      <c r="D40" s="20" t="s">
        <v>12</v>
      </c>
      <c r="E40" s="20">
        <f>VLOOKUP(D40,学历与基础工资对照表!$A$1:$B$5,2,0)</f>
        <v>12000</v>
      </c>
      <c r="F40" s="20">
        <v>4569</v>
      </c>
      <c r="G40" s="21">
        <f t="shared" si="0"/>
        <v>16569</v>
      </c>
      <c r="H40" s="23"/>
    </row>
    <row r="41" spans="1:7">
      <c r="A41" s="19" t="s">
        <v>62</v>
      </c>
      <c r="B41" s="20">
        <v>45</v>
      </c>
      <c r="C41" s="20" t="s">
        <v>9</v>
      </c>
      <c r="D41" s="20" t="s">
        <v>15</v>
      </c>
      <c r="E41" s="20">
        <f>VLOOKUP(D41,学历与基础工资对照表!$A$1:$B$5,2,0)</f>
        <v>9000</v>
      </c>
      <c r="F41" s="20">
        <v>3700</v>
      </c>
      <c r="G41" s="21">
        <f t="shared" si="0"/>
        <v>12700</v>
      </c>
    </row>
    <row r="42" spans="1:7">
      <c r="A42" s="19" t="s">
        <v>63</v>
      </c>
      <c r="B42" s="20">
        <v>49</v>
      </c>
      <c r="C42" s="20" t="s">
        <v>9</v>
      </c>
      <c r="D42" s="20" t="s">
        <v>15</v>
      </c>
      <c r="E42" s="20">
        <f>VLOOKUP(D42,学历与基础工资对照表!$A$1:$B$5,2,0)</f>
        <v>9000</v>
      </c>
      <c r="F42" s="20">
        <v>6200</v>
      </c>
      <c r="G42" s="21">
        <f t="shared" si="0"/>
        <v>15200</v>
      </c>
    </row>
    <row r="43" spans="1:7">
      <c r="A43" s="19" t="s">
        <v>64</v>
      </c>
      <c r="B43" s="20">
        <v>48</v>
      </c>
      <c r="C43" s="20" t="s">
        <v>9</v>
      </c>
      <c r="D43" s="20" t="s">
        <v>15</v>
      </c>
      <c r="E43" s="20">
        <f>VLOOKUP(D43,学历与基础工资对照表!$A$1:$B$5,2,0)</f>
        <v>9000</v>
      </c>
      <c r="F43" s="20">
        <v>3980</v>
      </c>
      <c r="G43" s="21">
        <f t="shared" si="0"/>
        <v>12980</v>
      </c>
    </row>
    <row r="44" spans="1:7">
      <c r="A44" s="19" t="s">
        <v>65</v>
      </c>
      <c r="B44" s="20">
        <v>41</v>
      </c>
      <c r="C44" s="20" t="s">
        <v>9</v>
      </c>
      <c r="D44" s="20" t="s">
        <v>12</v>
      </c>
      <c r="E44" s="20">
        <f>VLOOKUP(D44,学历与基础工资对照表!$A$1:$B$5,2,0)</f>
        <v>12000</v>
      </c>
      <c r="F44" s="20">
        <v>3910</v>
      </c>
      <c r="G44" s="21">
        <f t="shared" si="0"/>
        <v>15910</v>
      </c>
    </row>
    <row r="45" spans="1:7">
      <c r="A45" s="19" t="s">
        <v>66</v>
      </c>
      <c r="B45" s="20">
        <v>44</v>
      </c>
      <c r="C45" s="20" t="s">
        <v>9</v>
      </c>
      <c r="D45" s="20" t="s">
        <v>15</v>
      </c>
      <c r="E45" s="20">
        <f>VLOOKUP(D45,学历与基础工资对照表!$A$1:$B$5,2,0)</f>
        <v>9000</v>
      </c>
      <c r="F45" s="20">
        <v>2700</v>
      </c>
      <c r="G45" s="21">
        <f t="shared" si="0"/>
        <v>11700</v>
      </c>
    </row>
    <row r="46" spans="1:7">
      <c r="A46" s="19" t="s">
        <v>67</v>
      </c>
      <c r="B46" s="20">
        <v>45</v>
      </c>
      <c r="C46" s="20" t="s">
        <v>9</v>
      </c>
      <c r="D46" s="20" t="s">
        <v>15</v>
      </c>
      <c r="E46" s="20">
        <f>VLOOKUP(D46,学历与基础工资对照表!$A$1:$B$5,2,0)</f>
        <v>9000</v>
      </c>
      <c r="F46" s="20">
        <v>4180</v>
      </c>
      <c r="G46" s="21">
        <f t="shared" si="0"/>
        <v>13180</v>
      </c>
    </row>
    <row r="47" spans="1:7">
      <c r="A47" s="19" t="s">
        <v>68</v>
      </c>
      <c r="B47" s="20">
        <v>49</v>
      </c>
      <c r="C47" s="20" t="s">
        <v>9</v>
      </c>
      <c r="D47" s="20" t="s">
        <v>10</v>
      </c>
      <c r="E47" s="20">
        <f>VLOOKUP(D47,学历与基础工资对照表!$A$1:$B$5,2,0)</f>
        <v>15000</v>
      </c>
      <c r="F47" s="20">
        <v>3700</v>
      </c>
      <c r="G47" s="21">
        <f t="shared" si="0"/>
        <v>18700</v>
      </c>
    </row>
    <row r="48" spans="1:7">
      <c r="A48" s="19" t="s">
        <v>69</v>
      </c>
      <c r="B48" s="20">
        <v>41</v>
      </c>
      <c r="C48" s="20" t="s">
        <v>9</v>
      </c>
      <c r="D48" s="20" t="s">
        <v>15</v>
      </c>
      <c r="E48" s="20">
        <f>VLOOKUP(D48,学历与基础工资对照表!$A$1:$B$5,2,0)</f>
        <v>9000</v>
      </c>
      <c r="F48" s="20">
        <v>2690</v>
      </c>
      <c r="G48" s="21">
        <f t="shared" si="0"/>
        <v>11690</v>
      </c>
    </row>
    <row r="49" spans="1:7">
      <c r="A49" s="19" t="s">
        <v>70</v>
      </c>
      <c r="B49" s="20">
        <v>44</v>
      </c>
      <c r="C49" s="20" t="s">
        <v>9</v>
      </c>
      <c r="D49" s="20" t="s">
        <v>15</v>
      </c>
      <c r="E49" s="20">
        <f>VLOOKUP(D49,学历与基础工资对照表!$A$1:$B$5,2,0)</f>
        <v>9000</v>
      </c>
      <c r="F49" s="20">
        <v>4800</v>
      </c>
      <c r="G49" s="21">
        <f t="shared" si="0"/>
        <v>13800</v>
      </c>
    </row>
    <row r="50" spans="1:7">
      <c r="A50" s="19" t="s">
        <v>71</v>
      </c>
      <c r="B50" s="20">
        <v>45</v>
      </c>
      <c r="C50" s="20" t="s">
        <v>9</v>
      </c>
      <c r="D50" s="20" t="s">
        <v>15</v>
      </c>
      <c r="E50" s="20">
        <f>VLOOKUP(D50,学历与基础工资对照表!$A$1:$B$5,2,0)</f>
        <v>9000</v>
      </c>
      <c r="F50" s="20">
        <v>6290</v>
      </c>
      <c r="G50" s="21">
        <f t="shared" si="0"/>
        <v>15290</v>
      </c>
    </row>
    <row r="51" spans="1:7">
      <c r="A51" s="19" t="s">
        <v>72</v>
      </c>
      <c r="B51" s="20">
        <v>42</v>
      </c>
      <c r="C51" s="20" t="s">
        <v>9</v>
      </c>
      <c r="D51" s="20" t="s">
        <v>15</v>
      </c>
      <c r="E51" s="20">
        <f>VLOOKUP(D51,学历与基础工资对照表!$A$1:$B$5,2,0)</f>
        <v>9000</v>
      </c>
      <c r="F51" s="20">
        <v>4560</v>
      </c>
      <c r="G51" s="21">
        <f t="shared" si="0"/>
        <v>13560</v>
      </c>
    </row>
    <row r="52" spans="1:7">
      <c r="A52" s="19" t="s">
        <v>73</v>
      </c>
      <c r="B52" s="20">
        <v>42</v>
      </c>
      <c r="C52" s="20" t="s">
        <v>9</v>
      </c>
      <c r="D52" s="20" t="s">
        <v>10</v>
      </c>
      <c r="E52" s="20">
        <f>VLOOKUP(D52,学历与基础工资对照表!$A$1:$B$5,2,0)</f>
        <v>15000</v>
      </c>
      <c r="F52" s="20">
        <v>6000</v>
      </c>
      <c r="G52" s="21">
        <f t="shared" si="0"/>
        <v>21000</v>
      </c>
    </row>
    <row r="53" spans="1:7">
      <c r="A53" s="19" t="s">
        <v>74</v>
      </c>
      <c r="B53" s="20">
        <v>43</v>
      </c>
      <c r="C53" s="20" t="s">
        <v>9</v>
      </c>
      <c r="D53" s="20" t="s">
        <v>15</v>
      </c>
      <c r="E53" s="20">
        <f>VLOOKUP(D53,学历与基础工资对照表!$A$1:$B$5,2,0)</f>
        <v>9000</v>
      </c>
      <c r="F53" s="20">
        <v>4600</v>
      </c>
      <c r="G53" s="21">
        <f t="shared" si="0"/>
        <v>13600</v>
      </c>
    </row>
    <row r="54" spans="1:7">
      <c r="A54" s="19" t="s">
        <v>75</v>
      </c>
      <c r="B54" s="20">
        <v>63</v>
      </c>
      <c r="C54" s="20" t="s">
        <v>9</v>
      </c>
      <c r="D54" s="20" t="s">
        <v>15</v>
      </c>
      <c r="E54" s="20">
        <f>VLOOKUP(D54,学历与基础工资对照表!$A$1:$B$5,2,0)</f>
        <v>9000</v>
      </c>
      <c r="F54" s="20">
        <v>7300</v>
      </c>
      <c r="G54" s="21">
        <f t="shared" si="0"/>
        <v>16300</v>
      </c>
    </row>
    <row r="55" spans="1:7">
      <c r="A55" s="19" t="s">
        <v>76</v>
      </c>
      <c r="B55" s="20">
        <v>46</v>
      </c>
      <c r="C55" s="20" t="s">
        <v>18</v>
      </c>
      <c r="D55" s="20" t="s">
        <v>15</v>
      </c>
      <c r="E55" s="20">
        <f>VLOOKUP(D55,学历与基础工资对照表!$A$1:$B$5,2,0)</f>
        <v>9000</v>
      </c>
      <c r="F55" s="20">
        <v>4300</v>
      </c>
      <c r="G55" s="21">
        <f t="shared" si="0"/>
        <v>13300</v>
      </c>
    </row>
    <row r="56" spans="1:7">
      <c r="A56" s="19" t="s">
        <v>77</v>
      </c>
      <c r="B56" s="20">
        <v>44</v>
      </c>
      <c r="C56" s="20" t="s">
        <v>18</v>
      </c>
      <c r="D56" s="20" t="s">
        <v>12</v>
      </c>
      <c r="E56" s="20">
        <f>VLOOKUP(D56,学历与基础工资对照表!$A$1:$B$5,2,0)</f>
        <v>12000</v>
      </c>
      <c r="F56" s="20">
        <v>4800</v>
      </c>
      <c r="G56" s="21">
        <f t="shared" si="0"/>
        <v>16800</v>
      </c>
    </row>
    <row r="57" spans="1:7">
      <c r="A57" s="19" t="s">
        <v>78</v>
      </c>
      <c r="B57" s="20">
        <v>43</v>
      </c>
      <c r="C57" s="20" t="s">
        <v>18</v>
      </c>
      <c r="D57" s="20" t="s">
        <v>15</v>
      </c>
      <c r="E57" s="20">
        <f>VLOOKUP(D57,学历与基础工资对照表!$A$1:$B$5,2,0)</f>
        <v>9000</v>
      </c>
      <c r="F57" s="20">
        <v>9090</v>
      </c>
      <c r="G57" s="21">
        <f t="shared" si="0"/>
        <v>18090</v>
      </c>
    </row>
    <row r="58" spans="1:7">
      <c r="A58" s="19" t="s">
        <v>79</v>
      </c>
      <c r="B58" s="20">
        <v>43</v>
      </c>
      <c r="C58" s="20" t="s">
        <v>18</v>
      </c>
      <c r="D58" s="20" t="s">
        <v>15</v>
      </c>
      <c r="E58" s="20">
        <f>VLOOKUP(D58,学历与基础工资对照表!$A$1:$B$5,2,0)</f>
        <v>9000</v>
      </c>
      <c r="F58" s="20">
        <v>7500</v>
      </c>
      <c r="G58" s="21">
        <f t="shared" si="0"/>
        <v>16500</v>
      </c>
    </row>
    <row r="59" spans="1:7">
      <c r="A59" s="19" t="s">
        <v>80</v>
      </c>
      <c r="B59" s="20">
        <v>45</v>
      </c>
      <c r="C59" s="20" t="s">
        <v>18</v>
      </c>
      <c r="D59" s="20" t="s">
        <v>15</v>
      </c>
      <c r="E59" s="20">
        <f>VLOOKUP(D59,学历与基础工资对照表!$A$1:$B$5,2,0)</f>
        <v>9000</v>
      </c>
      <c r="F59" s="20">
        <v>4600</v>
      </c>
      <c r="G59" s="21">
        <f t="shared" si="0"/>
        <v>13600</v>
      </c>
    </row>
    <row r="60" spans="1:7">
      <c r="A60" s="19" t="s">
        <v>81</v>
      </c>
      <c r="B60" s="20">
        <v>44</v>
      </c>
      <c r="C60" s="20" t="s">
        <v>18</v>
      </c>
      <c r="D60" s="20" t="s">
        <v>12</v>
      </c>
      <c r="E60" s="20">
        <f>VLOOKUP(D60,学历与基础工资对照表!$A$1:$B$5,2,0)</f>
        <v>12000</v>
      </c>
      <c r="F60" s="20">
        <v>2890</v>
      </c>
      <c r="G60" s="21">
        <f t="shared" si="0"/>
        <v>14890</v>
      </c>
    </row>
    <row r="61" spans="1:7">
      <c r="A61" s="19" t="s">
        <v>82</v>
      </c>
      <c r="B61" s="20">
        <v>50</v>
      </c>
      <c r="C61" s="20" t="s">
        <v>18</v>
      </c>
      <c r="D61" s="20" t="s">
        <v>15</v>
      </c>
      <c r="E61" s="20">
        <f>VLOOKUP(D61,学历与基础工资对照表!$A$1:$B$5,2,0)</f>
        <v>9000</v>
      </c>
      <c r="F61" s="20">
        <v>3100</v>
      </c>
      <c r="G61" s="21">
        <f t="shared" si="0"/>
        <v>12100</v>
      </c>
    </row>
    <row r="62" spans="1:7">
      <c r="A62" s="19" t="s">
        <v>83</v>
      </c>
      <c r="B62" s="20">
        <v>43</v>
      </c>
      <c r="C62" s="20" t="s">
        <v>18</v>
      </c>
      <c r="D62" s="20" t="s">
        <v>84</v>
      </c>
      <c r="E62" s="20">
        <f>VLOOKUP(D62,学历与基础工资对照表!$A$1:$B$5,2,0)</f>
        <v>7000</v>
      </c>
      <c r="F62" s="20">
        <v>4100</v>
      </c>
      <c r="G62" s="21">
        <f t="shared" si="0"/>
        <v>11100</v>
      </c>
    </row>
    <row r="63" spans="1:7">
      <c r="A63" s="19" t="s">
        <v>85</v>
      </c>
      <c r="B63" s="20">
        <v>46</v>
      </c>
      <c r="C63" s="20" t="s">
        <v>18</v>
      </c>
      <c r="D63" s="20" t="s">
        <v>10</v>
      </c>
      <c r="E63" s="20">
        <f>VLOOKUP(D63,学历与基础工资对照表!$A$1:$B$5,2,0)</f>
        <v>15000</v>
      </c>
      <c r="F63" s="20">
        <v>2890</v>
      </c>
      <c r="G63" s="21">
        <f t="shared" si="0"/>
        <v>17890</v>
      </c>
    </row>
    <row r="64" spans="1:7">
      <c r="A64" s="19" t="s">
        <v>86</v>
      </c>
      <c r="B64" s="20">
        <v>57</v>
      </c>
      <c r="C64" s="20" t="s">
        <v>18</v>
      </c>
      <c r="D64" s="20" t="s">
        <v>15</v>
      </c>
      <c r="E64" s="20">
        <f>VLOOKUP(D64,学历与基础工资对照表!$A$1:$B$5,2,0)</f>
        <v>9000</v>
      </c>
      <c r="F64" s="20">
        <v>4800</v>
      </c>
      <c r="G64" s="21">
        <f t="shared" si="0"/>
        <v>13800</v>
      </c>
    </row>
    <row r="65" spans="1:7">
      <c r="A65" s="19" t="s">
        <v>87</v>
      </c>
      <c r="B65" s="20">
        <v>56</v>
      </c>
      <c r="C65" s="20" t="s">
        <v>9</v>
      </c>
      <c r="D65" s="20" t="s">
        <v>15</v>
      </c>
      <c r="E65" s="20">
        <f>VLOOKUP(D65,学历与基础工资对照表!$A$1:$B$5,2,0)</f>
        <v>9000</v>
      </c>
      <c r="F65" s="20">
        <v>6600</v>
      </c>
      <c r="G65" s="21">
        <f t="shared" si="0"/>
        <v>15600</v>
      </c>
    </row>
    <row r="66" spans="1:7">
      <c r="A66" s="19" t="s">
        <v>88</v>
      </c>
      <c r="B66" s="20">
        <v>56</v>
      </c>
      <c r="C66" s="20" t="s">
        <v>9</v>
      </c>
      <c r="D66" s="20" t="s">
        <v>84</v>
      </c>
      <c r="E66" s="20">
        <f>VLOOKUP(D66,学历与基础工资对照表!$A$1:$B$5,2,0)</f>
        <v>7000</v>
      </c>
      <c r="F66" s="20">
        <v>4600</v>
      </c>
      <c r="G66" s="21">
        <f t="shared" si="0"/>
        <v>11600</v>
      </c>
    </row>
    <row r="67" spans="1:7">
      <c r="A67" s="19" t="s">
        <v>89</v>
      </c>
      <c r="B67" s="20">
        <v>60</v>
      </c>
      <c r="C67" s="20" t="s">
        <v>9</v>
      </c>
      <c r="D67" s="20" t="s">
        <v>15</v>
      </c>
      <c r="E67" s="20">
        <f>VLOOKUP(D67,学历与基础工资对照表!$A$1:$B$5,2,0)</f>
        <v>9000</v>
      </c>
      <c r="F67" s="20">
        <v>3900</v>
      </c>
      <c r="G67" s="21">
        <f t="shared" si="0"/>
        <v>12900</v>
      </c>
    </row>
    <row r="68" spans="1:7">
      <c r="A68" s="19" t="s">
        <v>90</v>
      </c>
      <c r="B68" s="20">
        <v>54</v>
      </c>
      <c r="C68" s="20" t="s">
        <v>18</v>
      </c>
      <c r="D68" s="20" t="s">
        <v>12</v>
      </c>
      <c r="E68" s="20">
        <f>VLOOKUP(D68,学历与基础工资对照表!$A$1:$B$5,2,0)</f>
        <v>12000</v>
      </c>
      <c r="F68" s="20">
        <v>6980</v>
      </c>
      <c r="G68" s="21">
        <f t="shared" ref="G68:G83" si="3">SUM(E68:F68)</f>
        <v>18980</v>
      </c>
    </row>
    <row r="69" spans="1:7">
      <c r="A69" s="19" t="s">
        <v>91</v>
      </c>
      <c r="B69" s="20">
        <v>51</v>
      </c>
      <c r="C69" s="20" t="s">
        <v>18</v>
      </c>
      <c r="D69" s="20" t="s">
        <v>15</v>
      </c>
      <c r="E69" s="20">
        <f>VLOOKUP(D69,学历与基础工资对照表!$A$1:$B$5,2,0)</f>
        <v>9000</v>
      </c>
      <c r="F69" s="20">
        <v>5980</v>
      </c>
      <c r="G69" s="21">
        <f t="shared" si="3"/>
        <v>14980</v>
      </c>
    </row>
    <row r="70" spans="1:7">
      <c r="A70" s="19" t="s">
        <v>92</v>
      </c>
      <c r="B70" s="20">
        <v>47</v>
      </c>
      <c r="C70" s="20" t="s">
        <v>18</v>
      </c>
      <c r="D70" s="20" t="s">
        <v>15</v>
      </c>
      <c r="E70" s="20">
        <f>VLOOKUP(D70,学历与基础工资对照表!$A$1:$B$5,2,0)</f>
        <v>9000</v>
      </c>
      <c r="F70" s="20">
        <v>3800</v>
      </c>
      <c r="G70" s="21">
        <f t="shared" si="3"/>
        <v>12800</v>
      </c>
    </row>
    <row r="71" spans="1:7">
      <c r="A71" s="19" t="s">
        <v>93</v>
      </c>
      <c r="B71" s="20">
        <v>45</v>
      </c>
      <c r="C71" s="20" t="s">
        <v>18</v>
      </c>
      <c r="D71" s="20" t="s">
        <v>84</v>
      </c>
      <c r="E71" s="20">
        <f>VLOOKUP(D71,学历与基础工资对照表!$A$1:$B$5,2,0)</f>
        <v>7000</v>
      </c>
      <c r="F71" s="20">
        <v>2100</v>
      </c>
      <c r="G71" s="21">
        <f t="shared" si="3"/>
        <v>9100</v>
      </c>
    </row>
    <row r="72" spans="1:7">
      <c r="A72" s="19" t="s">
        <v>94</v>
      </c>
      <c r="B72" s="20">
        <v>40</v>
      </c>
      <c r="C72" s="20" t="s">
        <v>18</v>
      </c>
      <c r="D72" s="20" t="s">
        <v>15</v>
      </c>
      <c r="E72" s="20">
        <f>VLOOKUP(D72,学历与基础工资对照表!$A$1:$B$5,2,0)</f>
        <v>9000</v>
      </c>
      <c r="F72" s="20">
        <v>7860</v>
      </c>
      <c r="G72" s="21">
        <f t="shared" si="3"/>
        <v>16860</v>
      </c>
    </row>
    <row r="73" spans="1:7">
      <c r="A73" s="19" t="s">
        <v>95</v>
      </c>
      <c r="B73" s="20">
        <v>39</v>
      </c>
      <c r="C73" s="20" t="s">
        <v>18</v>
      </c>
      <c r="D73" s="20" t="s">
        <v>10</v>
      </c>
      <c r="E73" s="20">
        <f>VLOOKUP(D73,学历与基础工资对照表!$A$1:$B$5,2,0)</f>
        <v>15000</v>
      </c>
      <c r="F73" s="20">
        <v>3990</v>
      </c>
      <c r="G73" s="21">
        <f t="shared" si="3"/>
        <v>18990</v>
      </c>
    </row>
    <row r="74" spans="1:7">
      <c r="A74" s="19" t="s">
        <v>96</v>
      </c>
      <c r="B74" s="20">
        <v>50</v>
      </c>
      <c r="C74" s="20" t="s">
        <v>18</v>
      </c>
      <c r="D74" s="20" t="s">
        <v>15</v>
      </c>
      <c r="E74" s="20">
        <f>VLOOKUP(D74,学历与基础工资对照表!$A$1:$B$5,2,0)</f>
        <v>9000</v>
      </c>
      <c r="F74" s="20">
        <v>6000</v>
      </c>
      <c r="G74" s="21">
        <f t="shared" si="3"/>
        <v>15000</v>
      </c>
    </row>
    <row r="75" spans="1:7">
      <c r="A75" s="19" t="s">
        <v>97</v>
      </c>
      <c r="B75" s="20">
        <v>33</v>
      </c>
      <c r="C75" s="20" t="s">
        <v>18</v>
      </c>
      <c r="D75" s="20" t="s">
        <v>12</v>
      </c>
      <c r="E75" s="20">
        <f>VLOOKUP(D75,学历与基础工资对照表!$A$1:$B$5,2,0)</f>
        <v>12000</v>
      </c>
      <c r="F75" s="20">
        <v>8200</v>
      </c>
      <c r="G75" s="21">
        <f t="shared" si="3"/>
        <v>20200</v>
      </c>
    </row>
    <row r="76" spans="1:7">
      <c r="A76" s="19" t="s">
        <v>98</v>
      </c>
      <c r="B76" s="20">
        <v>59</v>
      </c>
      <c r="C76" s="20" t="s">
        <v>21</v>
      </c>
      <c r="D76" s="20" t="s">
        <v>15</v>
      </c>
      <c r="E76" s="20">
        <f>VLOOKUP(D76,学历与基础工资对照表!$A$1:$B$5,2,0)</f>
        <v>9000</v>
      </c>
      <c r="F76" s="20">
        <v>3500</v>
      </c>
      <c r="G76" s="21">
        <f t="shared" si="3"/>
        <v>12500</v>
      </c>
    </row>
    <row r="77" spans="1:7">
      <c r="A77" s="19" t="s">
        <v>99</v>
      </c>
      <c r="B77" s="20">
        <v>40</v>
      </c>
      <c r="C77" s="20" t="s">
        <v>21</v>
      </c>
      <c r="D77" s="20" t="s">
        <v>15</v>
      </c>
      <c r="E77" s="20">
        <f>VLOOKUP(D77,学历与基础工资对照表!$A$1:$B$5,2,0)</f>
        <v>9000</v>
      </c>
      <c r="F77" s="20">
        <v>7200</v>
      </c>
      <c r="G77" s="21">
        <f t="shared" si="3"/>
        <v>16200</v>
      </c>
    </row>
    <row r="78" spans="1:7">
      <c r="A78" s="19" t="s">
        <v>100</v>
      </c>
      <c r="B78" s="20">
        <v>31</v>
      </c>
      <c r="C78" s="20" t="s">
        <v>21</v>
      </c>
      <c r="D78" s="20" t="s">
        <v>84</v>
      </c>
      <c r="E78" s="20">
        <f>VLOOKUP(D78,学历与基础工资对照表!$A$1:$B$5,2,0)</f>
        <v>7000</v>
      </c>
      <c r="F78" s="20">
        <v>4800</v>
      </c>
      <c r="G78" s="21">
        <f t="shared" si="3"/>
        <v>11800</v>
      </c>
    </row>
    <row r="79" spans="1:7">
      <c r="A79" s="19" t="s">
        <v>101</v>
      </c>
      <c r="B79" s="20">
        <v>60</v>
      </c>
      <c r="C79" s="20" t="s">
        <v>21</v>
      </c>
      <c r="D79" s="20" t="s">
        <v>15</v>
      </c>
      <c r="E79" s="20">
        <f>VLOOKUP(D79,学历与基础工资对照表!$A$1:$B$5,2,0)</f>
        <v>9000</v>
      </c>
      <c r="F79" s="20">
        <v>2900</v>
      </c>
      <c r="G79" s="21">
        <f t="shared" si="3"/>
        <v>11900</v>
      </c>
    </row>
    <row r="80" spans="1:7">
      <c r="A80" s="19" t="s">
        <v>102</v>
      </c>
      <c r="B80" s="20">
        <v>41</v>
      </c>
      <c r="C80" s="20" t="s">
        <v>21</v>
      </c>
      <c r="D80" s="20" t="s">
        <v>15</v>
      </c>
      <c r="E80" s="20">
        <f>VLOOKUP(D80,学历与基础工资对照表!$A$1:$B$5,2,0)</f>
        <v>9000</v>
      </c>
      <c r="F80" s="20">
        <v>3100</v>
      </c>
      <c r="G80" s="21">
        <f t="shared" si="3"/>
        <v>12100</v>
      </c>
    </row>
    <row r="81" spans="1:7">
      <c r="A81" s="19" t="s">
        <v>103</v>
      </c>
      <c r="B81" s="20">
        <v>41</v>
      </c>
      <c r="C81" s="20" t="s">
        <v>21</v>
      </c>
      <c r="D81" s="20" t="s">
        <v>84</v>
      </c>
      <c r="E81" s="20">
        <f>VLOOKUP(D81,学历与基础工资对照表!$A$1:$B$5,2,0)</f>
        <v>7000</v>
      </c>
      <c r="F81" s="20">
        <v>8090</v>
      </c>
      <c r="G81" s="21">
        <f t="shared" si="3"/>
        <v>15090</v>
      </c>
    </row>
    <row r="82" spans="1:7">
      <c r="A82" s="19" t="s">
        <v>104</v>
      </c>
      <c r="B82" s="20">
        <v>29</v>
      </c>
      <c r="C82" s="20" t="s">
        <v>18</v>
      </c>
      <c r="D82" s="20" t="s">
        <v>15</v>
      </c>
      <c r="E82" s="20">
        <f>VLOOKUP(D82,学历与基础工资对照表!$A$1:$B$5,2,0)</f>
        <v>9000</v>
      </c>
      <c r="F82" s="20">
        <v>1800</v>
      </c>
      <c r="G82" s="21">
        <f t="shared" si="3"/>
        <v>10800</v>
      </c>
    </row>
    <row r="83" spans="1:7">
      <c r="A83" s="31" t="s">
        <v>105</v>
      </c>
      <c r="B83" s="32">
        <v>44</v>
      </c>
      <c r="C83" s="32" t="s">
        <v>18</v>
      </c>
      <c r="D83" s="32" t="s">
        <v>15</v>
      </c>
      <c r="E83" s="32">
        <f>VLOOKUP(D83,学历与基础工资对照表!$A$1:$B$5,2,0)</f>
        <v>9000</v>
      </c>
      <c r="F83" s="32">
        <v>2100</v>
      </c>
      <c r="G83" s="33">
        <f t="shared" si="3"/>
        <v>11100</v>
      </c>
    </row>
  </sheetData>
  <mergeCells count="3">
    <mergeCell ref="A1:G1"/>
    <mergeCell ref="I4:J4"/>
    <mergeCell ref="I14:K14"/>
  </mergeCells>
  <conditionalFormatting sqref="I15">
    <cfRule type="cellIs" dxfId="1" priority="6" stopIfTrue="1" operator="greaterThanOrEqual">
      <formula>130</formula>
    </cfRule>
  </conditionalFormatting>
  <conditionalFormatting sqref="I17">
    <cfRule type="cellIs" dxfId="1" priority="2" stopIfTrue="1" operator="greaterThanOrEqual">
      <formula>130</formula>
    </cfRule>
  </conditionalFormatting>
  <conditionalFormatting sqref="G3:G83">
    <cfRule type="aboveAverage" dxfId="2" priority="1"/>
  </conditionalFormatting>
  <pageMargins left="0.7" right="0.7" top="0.75" bottom="0.75" header="0.3" footer="0.3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D40" sqref="D40"/>
    </sheetView>
  </sheetViews>
  <sheetFormatPr defaultColWidth="9" defaultRowHeight="13.5" outlineLevelRow="4" outlineLevelCol="1"/>
  <cols>
    <col min="2" max="2" width="15.125" customWidth="1"/>
  </cols>
  <sheetData>
    <row r="1" spans="1:2">
      <c r="A1" s="10" t="s">
        <v>4</v>
      </c>
      <c r="B1" s="10" t="s">
        <v>5</v>
      </c>
    </row>
    <row r="2" spans="1:2">
      <c r="A2" s="10" t="s">
        <v>10</v>
      </c>
      <c r="B2" s="10">
        <v>15000</v>
      </c>
    </row>
    <row r="3" spans="1:2">
      <c r="A3" s="10" t="s">
        <v>12</v>
      </c>
      <c r="B3" s="10">
        <v>12000</v>
      </c>
    </row>
    <row r="4" spans="1:2">
      <c r="A4" s="10" t="s">
        <v>15</v>
      </c>
      <c r="B4" s="10">
        <v>9000</v>
      </c>
    </row>
    <row r="5" spans="1:2">
      <c r="A5" s="10" t="s">
        <v>84</v>
      </c>
      <c r="B5" s="10">
        <v>7000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8"/>
  <sheetViews>
    <sheetView topLeftCell="F1" workbookViewId="0">
      <selection activeCell="P21" sqref="P21"/>
    </sheetView>
  </sheetViews>
  <sheetFormatPr defaultColWidth="9" defaultRowHeight="13.5"/>
  <cols>
    <col min="1" max="8" width="9" style="1"/>
    <col min="9" max="9" width="10.25" style="1" customWidth="1"/>
    <col min="10" max="11" width="9" style="1"/>
    <col min="12" max="12" width="15.375" style="1" customWidth="1"/>
    <col min="13" max="13" width="10.75" style="1" customWidth="1"/>
    <col min="14" max="14" width="10.625" style="1" customWidth="1"/>
    <col min="15" max="15" width="11.5" style="1" customWidth="1"/>
    <col min="16" max="16" width="12.25" style="1" customWidth="1"/>
    <col min="17" max="19" width="9.75" style="1" customWidth="1"/>
    <col min="20" max="20" width="5.75" style="1" customWidth="1"/>
    <col min="21" max="16384" width="9" style="1"/>
  </cols>
  <sheetData>
    <row r="1" spans="1:10">
      <c r="A1" s="2" t="s">
        <v>106</v>
      </c>
      <c r="B1" s="2" t="s">
        <v>107</v>
      </c>
      <c r="C1" s="2" t="s">
        <v>108</v>
      </c>
      <c r="D1" s="3" t="s">
        <v>109</v>
      </c>
      <c r="E1" s="2" t="s">
        <v>110</v>
      </c>
      <c r="F1" s="3" t="s">
        <v>111</v>
      </c>
      <c r="G1" s="3" t="s">
        <v>112</v>
      </c>
      <c r="H1" s="2" t="s">
        <v>113</v>
      </c>
      <c r="I1" s="3" t="s">
        <v>114</v>
      </c>
      <c r="J1" s="2" t="s">
        <v>115</v>
      </c>
    </row>
    <row r="2" spans="1:20">
      <c r="A2" s="4">
        <v>45050</v>
      </c>
      <c r="B2" s="5" t="s">
        <v>116</v>
      </c>
      <c r="C2" s="5" t="s">
        <v>117</v>
      </c>
      <c r="D2" s="6">
        <v>2088</v>
      </c>
      <c r="E2" s="5" t="s">
        <v>118</v>
      </c>
      <c r="F2" s="6">
        <v>1888</v>
      </c>
      <c r="G2" s="7">
        <f t="shared" ref="G2:G33" si="0">(D2-F2)/D2</f>
        <v>0.0957854406130268</v>
      </c>
      <c r="H2" s="5">
        <v>10</v>
      </c>
      <c r="I2" s="6">
        <f t="shared" ref="I2:I33" si="1">F2*H2</f>
        <v>18880</v>
      </c>
      <c r="J2" s="5" t="s">
        <v>119</v>
      </c>
      <c r="L2" t="s">
        <v>120</v>
      </c>
      <c r="M2" t="s">
        <v>107</v>
      </c>
      <c r="N2"/>
      <c r="O2"/>
      <c r="P2"/>
      <c r="Q2"/>
      <c r="R2"/>
      <c r="S2"/>
      <c r="T2"/>
    </row>
    <row r="3" spans="1:20">
      <c r="A3" s="4">
        <v>45057</v>
      </c>
      <c r="B3" s="5" t="s">
        <v>116</v>
      </c>
      <c r="C3" s="5" t="s">
        <v>121</v>
      </c>
      <c r="D3" s="6">
        <v>1988</v>
      </c>
      <c r="E3" s="5" t="s">
        <v>118</v>
      </c>
      <c r="F3" s="6">
        <v>1788</v>
      </c>
      <c r="G3" s="7">
        <f t="shared" si="0"/>
        <v>0.100603621730382</v>
      </c>
      <c r="H3" s="5">
        <v>9</v>
      </c>
      <c r="I3" s="6">
        <f t="shared" si="1"/>
        <v>16092</v>
      </c>
      <c r="J3" s="5" t="s">
        <v>122</v>
      </c>
      <c r="L3" t="s">
        <v>115</v>
      </c>
      <c r="M3" t="s">
        <v>116</v>
      </c>
      <c r="N3" t="s">
        <v>123</v>
      </c>
      <c r="O3" t="s">
        <v>124</v>
      </c>
      <c r="P3" t="s">
        <v>125</v>
      </c>
      <c r="Q3"/>
      <c r="R3"/>
      <c r="S3"/>
      <c r="T3"/>
    </row>
    <row r="4" spans="1:16">
      <c r="A4" s="4">
        <v>45051</v>
      </c>
      <c r="B4" s="5" t="s">
        <v>116</v>
      </c>
      <c r="C4" s="5" t="s">
        <v>117</v>
      </c>
      <c r="D4" s="6">
        <v>2088</v>
      </c>
      <c r="E4" s="5" t="s">
        <v>118</v>
      </c>
      <c r="F4" s="6">
        <v>1888</v>
      </c>
      <c r="G4" s="7">
        <f t="shared" si="0"/>
        <v>0.0957854406130268</v>
      </c>
      <c r="H4" s="5">
        <v>6</v>
      </c>
      <c r="I4" s="6">
        <f t="shared" si="1"/>
        <v>11328</v>
      </c>
      <c r="J4" s="5" t="s">
        <v>119</v>
      </c>
      <c r="L4" s="8" t="s">
        <v>119</v>
      </c>
      <c r="M4" s="9">
        <v>50976</v>
      </c>
      <c r="N4" s="9">
        <v>49056</v>
      </c>
      <c r="O4" s="9">
        <v>17328</v>
      </c>
      <c r="P4" s="9">
        <v>117360</v>
      </c>
    </row>
    <row r="5" spans="1:16">
      <c r="A5" s="4">
        <v>45056</v>
      </c>
      <c r="B5" s="5" t="s">
        <v>116</v>
      </c>
      <c r="C5" s="5" t="s">
        <v>121</v>
      </c>
      <c r="D5" s="6">
        <v>1988</v>
      </c>
      <c r="E5" s="5" t="s">
        <v>118</v>
      </c>
      <c r="F5" s="6">
        <v>1788</v>
      </c>
      <c r="G5" s="7">
        <f t="shared" si="0"/>
        <v>0.100603621730382</v>
      </c>
      <c r="H5" s="5">
        <v>5</v>
      </c>
      <c r="I5" s="6">
        <f t="shared" si="1"/>
        <v>8940</v>
      </c>
      <c r="J5" s="5" t="s">
        <v>122</v>
      </c>
      <c r="L5" s="8" t="s">
        <v>122</v>
      </c>
      <c r="M5" s="9">
        <v>35760</v>
      </c>
      <c r="N5" s="9"/>
      <c r="O5" s="9"/>
      <c r="P5" s="9">
        <v>35760</v>
      </c>
    </row>
    <row r="6" spans="1:16">
      <c r="A6" s="4">
        <v>45052</v>
      </c>
      <c r="B6" s="5" t="s">
        <v>116</v>
      </c>
      <c r="C6" s="5" t="s">
        <v>117</v>
      </c>
      <c r="D6" s="6">
        <v>2088</v>
      </c>
      <c r="E6" s="5" t="s">
        <v>118</v>
      </c>
      <c r="F6" s="6">
        <v>1888</v>
      </c>
      <c r="G6" s="7">
        <f t="shared" si="0"/>
        <v>0.0957854406130268</v>
      </c>
      <c r="H6" s="5">
        <v>4</v>
      </c>
      <c r="I6" s="6">
        <f t="shared" si="1"/>
        <v>7552</v>
      </c>
      <c r="J6" s="5" t="s">
        <v>119</v>
      </c>
      <c r="L6" s="8" t="s">
        <v>126</v>
      </c>
      <c r="M6" s="9"/>
      <c r="N6" s="9">
        <v>85968</v>
      </c>
      <c r="O6" s="9">
        <v>8964</v>
      </c>
      <c r="P6" s="9">
        <v>94932</v>
      </c>
    </row>
    <row r="7" spans="1:16">
      <c r="A7" s="4">
        <v>45047</v>
      </c>
      <c r="B7" s="5" t="s">
        <v>116</v>
      </c>
      <c r="C7" s="5" t="s">
        <v>117</v>
      </c>
      <c r="D7" s="6">
        <v>2088</v>
      </c>
      <c r="E7" s="5" t="s">
        <v>118</v>
      </c>
      <c r="F7" s="6">
        <v>1888</v>
      </c>
      <c r="G7" s="7">
        <f t="shared" si="0"/>
        <v>0.0957854406130268</v>
      </c>
      <c r="H7" s="5">
        <v>3</v>
      </c>
      <c r="I7" s="6">
        <f t="shared" si="1"/>
        <v>5664</v>
      </c>
      <c r="J7" s="5" t="s">
        <v>119</v>
      </c>
      <c r="L7" s="8" t="s">
        <v>127</v>
      </c>
      <c r="M7" s="9">
        <v>5664</v>
      </c>
      <c r="N7" s="9">
        <v>27832</v>
      </c>
      <c r="O7" s="9"/>
      <c r="P7" s="9">
        <v>33496</v>
      </c>
    </row>
    <row r="8" spans="1:16">
      <c r="A8" s="4">
        <v>45071</v>
      </c>
      <c r="B8" s="5" t="s">
        <v>116</v>
      </c>
      <c r="C8" s="5" t="s">
        <v>117</v>
      </c>
      <c r="D8" s="6">
        <v>2088</v>
      </c>
      <c r="E8" s="5" t="s">
        <v>118</v>
      </c>
      <c r="F8" s="6">
        <v>1888</v>
      </c>
      <c r="G8" s="7">
        <f t="shared" si="0"/>
        <v>0.0957854406130268</v>
      </c>
      <c r="H8" s="5">
        <v>3</v>
      </c>
      <c r="I8" s="6">
        <f t="shared" si="1"/>
        <v>5664</v>
      </c>
      <c r="J8" s="5" t="s">
        <v>127</v>
      </c>
      <c r="L8" s="8" t="s">
        <v>128</v>
      </c>
      <c r="M8" s="9"/>
      <c r="N8" s="9">
        <v>179872</v>
      </c>
      <c r="O8" s="9"/>
      <c r="P8" s="9">
        <v>179872</v>
      </c>
    </row>
    <row r="9" spans="1:16">
      <c r="A9" s="4">
        <v>45053</v>
      </c>
      <c r="B9" s="5" t="s">
        <v>116</v>
      </c>
      <c r="C9" s="5" t="s">
        <v>117</v>
      </c>
      <c r="D9" s="6">
        <v>2088</v>
      </c>
      <c r="E9" s="5" t="s">
        <v>118</v>
      </c>
      <c r="F9" s="6">
        <v>1888</v>
      </c>
      <c r="G9" s="7">
        <f t="shared" si="0"/>
        <v>0.0957854406130268</v>
      </c>
      <c r="H9" s="5">
        <v>2</v>
      </c>
      <c r="I9" s="6">
        <f t="shared" si="1"/>
        <v>3776</v>
      </c>
      <c r="J9" s="5" t="s">
        <v>119</v>
      </c>
      <c r="L9" s="8" t="s">
        <v>129</v>
      </c>
      <c r="M9" s="9"/>
      <c r="N9" s="9">
        <v>11928</v>
      </c>
      <c r="O9" s="9">
        <v>68724</v>
      </c>
      <c r="P9" s="9">
        <v>80652</v>
      </c>
    </row>
    <row r="10" spans="1:16">
      <c r="A10" s="4">
        <v>45054</v>
      </c>
      <c r="B10" s="5" t="s">
        <v>116</v>
      </c>
      <c r="C10" s="5" t="s">
        <v>117</v>
      </c>
      <c r="D10" s="6">
        <v>2088</v>
      </c>
      <c r="E10" s="5" t="s">
        <v>118</v>
      </c>
      <c r="F10" s="6">
        <v>1888</v>
      </c>
      <c r="G10" s="7">
        <f t="shared" si="0"/>
        <v>0.0957854406130268</v>
      </c>
      <c r="H10" s="5">
        <v>2</v>
      </c>
      <c r="I10" s="6">
        <f t="shared" si="1"/>
        <v>3776</v>
      </c>
      <c r="J10" s="5" t="s">
        <v>119</v>
      </c>
      <c r="L10" s="8" t="s">
        <v>130</v>
      </c>
      <c r="M10" s="9"/>
      <c r="N10" s="9"/>
      <c r="O10" s="9">
        <v>110556</v>
      </c>
      <c r="P10" s="9">
        <v>110556</v>
      </c>
    </row>
    <row r="11" spans="1:16">
      <c r="A11" s="4">
        <v>45055</v>
      </c>
      <c r="B11" s="5" t="s">
        <v>116</v>
      </c>
      <c r="C11" s="5" t="s">
        <v>121</v>
      </c>
      <c r="D11" s="6">
        <v>1988</v>
      </c>
      <c r="E11" s="5" t="s">
        <v>118</v>
      </c>
      <c r="F11" s="6">
        <v>1788</v>
      </c>
      <c r="G11" s="7">
        <f t="shared" si="0"/>
        <v>0.100603621730382</v>
      </c>
      <c r="H11" s="5">
        <v>2</v>
      </c>
      <c r="I11" s="6">
        <f t="shared" si="1"/>
        <v>3576</v>
      </c>
      <c r="J11" s="5" t="s">
        <v>122</v>
      </c>
      <c r="L11" s="8" t="s">
        <v>131</v>
      </c>
      <c r="M11" s="9"/>
      <c r="N11" s="9"/>
      <c r="O11" s="9">
        <v>101080</v>
      </c>
      <c r="P11" s="9">
        <v>101080</v>
      </c>
    </row>
    <row r="12" spans="1:16">
      <c r="A12" s="4">
        <v>45058</v>
      </c>
      <c r="B12" s="5" t="s">
        <v>116</v>
      </c>
      <c r="C12" s="5" t="s">
        <v>121</v>
      </c>
      <c r="D12" s="6">
        <v>1988</v>
      </c>
      <c r="E12" s="5" t="s">
        <v>118</v>
      </c>
      <c r="F12" s="6">
        <v>1788</v>
      </c>
      <c r="G12" s="7">
        <f t="shared" si="0"/>
        <v>0.100603621730382</v>
      </c>
      <c r="H12" s="5">
        <v>2</v>
      </c>
      <c r="I12" s="6">
        <f t="shared" si="1"/>
        <v>3576</v>
      </c>
      <c r="J12" s="5" t="s">
        <v>122</v>
      </c>
      <c r="L12" s="8" t="s">
        <v>125</v>
      </c>
      <c r="M12" s="9">
        <v>92400</v>
      </c>
      <c r="N12" s="9">
        <v>354656</v>
      </c>
      <c r="O12" s="9">
        <v>306652</v>
      </c>
      <c r="P12" s="9">
        <v>753708</v>
      </c>
    </row>
    <row r="13" spans="1:14">
      <c r="A13" s="4">
        <v>45059</v>
      </c>
      <c r="B13" s="5" t="s">
        <v>116</v>
      </c>
      <c r="C13" s="5" t="s">
        <v>121</v>
      </c>
      <c r="D13" s="6">
        <v>1988</v>
      </c>
      <c r="E13" s="5" t="s">
        <v>118</v>
      </c>
      <c r="F13" s="6">
        <v>1788</v>
      </c>
      <c r="G13" s="7">
        <f t="shared" si="0"/>
        <v>0.100603621730382</v>
      </c>
      <c r="H13" s="5">
        <v>1</v>
      </c>
      <c r="I13" s="6">
        <f t="shared" si="1"/>
        <v>1788</v>
      </c>
      <c r="J13" s="5" t="s">
        <v>122</v>
      </c>
      <c r="L13"/>
      <c r="M13"/>
      <c r="N13"/>
    </row>
    <row r="14" spans="1:14">
      <c r="A14" s="4">
        <v>45061</v>
      </c>
      <c r="B14" s="5" t="s">
        <v>116</v>
      </c>
      <c r="C14" s="5" t="s">
        <v>121</v>
      </c>
      <c r="D14" s="6">
        <v>1988</v>
      </c>
      <c r="E14" s="5" t="s">
        <v>118</v>
      </c>
      <c r="F14" s="6">
        <v>1788</v>
      </c>
      <c r="G14" s="7">
        <f t="shared" si="0"/>
        <v>0.100603621730382</v>
      </c>
      <c r="H14" s="5">
        <v>1</v>
      </c>
      <c r="I14" s="6">
        <f t="shared" si="1"/>
        <v>1788</v>
      </c>
      <c r="J14" s="5" t="s">
        <v>122</v>
      </c>
      <c r="L14"/>
      <c r="M14"/>
      <c r="N14"/>
    </row>
    <row r="15" spans="1:14">
      <c r="A15" s="4">
        <v>45060</v>
      </c>
      <c r="B15" s="5" t="s">
        <v>116</v>
      </c>
      <c r="C15" s="5" t="s">
        <v>121</v>
      </c>
      <c r="D15" s="6">
        <v>1988</v>
      </c>
      <c r="E15" s="5" t="s">
        <v>118</v>
      </c>
      <c r="F15" s="6">
        <v>1788</v>
      </c>
      <c r="G15" s="7">
        <f t="shared" si="0"/>
        <v>0.100603621730382</v>
      </c>
      <c r="H15" s="5">
        <v>0</v>
      </c>
      <c r="I15" s="6">
        <f t="shared" si="1"/>
        <v>0</v>
      </c>
      <c r="J15" s="5" t="s">
        <v>122</v>
      </c>
      <c r="L15"/>
      <c r="M15"/>
      <c r="N15"/>
    </row>
    <row r="16" spans="1:14">
      <c r="A16" s="4">
        <v>45048</v>
      </c>
      <c r="B16" s="5" t="s">
        <v>123</v>
      </c>
      <c r="C16" s="5" t="s">
        <v>132</v>
      </c>
      <c r="D16" s="6">
        <v>4688</v>
      </c>
      <c r="E16" s="5" t="s">
        <v>118</v>
      </c>
      <c r="F16" s="6">
        <v>4088</v>
      </c>
      <c r="G16" s="7">
        <f t="shared" si="0"/>
        <v>0.127986348122867</v>
      </c>
      <c r="H16" s="5">
        <v>12</v>
      </c>
      <c r="I16" s="6">
        <f t="shared" si="1"/>
        <v>49056</v>
      </c>
      <c r="J16" s="5" t="s">
        <v>119</v>
      </c>
      <c r="L16"/>
      <c r="M16"/>
      <c r="N16"/>
    </row>
    <row r="17" spans="1:14">
      <c r="A17" s="4">
        <v>45080</v>
      </c>
      <c r="B17" s="5" t="s">
        <v>123</v>
      </c>
      <c r="C17" s="5" t="s">
        <v>132</v>
      </c>
      <c r="D17" s="6">
        <v>4688</v>
      </c>
      <c r="E17" s="5" t="s">
        <v>118</v>
      </c>
      <c r="F17" s="6">
        <v>4088</v>
      </c>
      <c r="G17" s="7">
        <f t="shared" si="0"/>
        <v>0.127986348122867</v>
      </c>
      <c r="H17" s="5">
        <v>12</v>
      </c>
      <c r="I17" s="6">
        <f t="shared" si="1"/>
        <v>49056</v>
      </c>
      <c r="J17" s="5" t="s">
        <v>128</v>
      </c>
      <c r="L17"/>
      <c r="M17"/>
      <c r="N17"/>
    </row>
    <row r="18" spans="1:14">
      <c r="A18" s="4">
        <v>45079</v>
      </c>
      <c r="B18" s="5" t="s">
        <v>123</v>
      </c>
      <c r="C18" s="5" t="s">
        <v>132</v>
      </c>
      <c r="D18" s="6">
        <v>4688</v>
      </c>
      <c r="E18" s="5" t="s">
        <v>118</v>
      </c>
      <c r="F18" s="6">
        <v>4088</v>
      </c>
      <c r="G18" s="7">
        <f t="shared" si="0"/>
        <v>0.127986348122867</v>
      </c>
      <c r="H18" s="5">
        <v>10</v>
      </c>
      <c r="I18" s="6">
        <f t="shared" si="1"/>
        <v>40880</v>
      </c>
      <c r="J18" s="5" t="s">
        <v>128</v>
      </c>
      <c r="L18"/>
      <c r="M18"/>
      <c r="N18"/>
    </row>
    <row r="19" spans="1:14">
      <c r="A19" s="4">
        <v>45066</v>
      </c>
      <c r="B19" s="5" t="s">
        <v>123</v>
      </c>
      <c r="C19" s="5" t="s">
        <v>133</v>
      </c>
      <c r="D19" s="6">
        <v>2688</v>
      </c>
      <c r="E19" s="5" t="s">
        <v>118</v>
      </c>
      <c r="F19" s="6">
        <v>2388</v>
      </c>
      <c r="G19" s="7">
        <f t="shared" si="0"/>
        <v>0.111607142857143</v>
      </c>
      <c r="H19" s="5">
        <v>9</v>
      </c>
      <c r="I19" s="6">
        <f t="shared" si="1"/>
        <v>21492</v>
      </c>
      <c r="J19" s="5" t="s">
        <v>126</v>
      </c>
      <c r="L19"/>
      <c r="M19"/>
      <c r="N19"/>
    </row>
    <row r="20" spans="1:10">
      <c r="A20" s="4">
        <v>45063</v>
      </c>
      <c r="B20" s="5" t="s">
        <v>123</v>
      </c>
      <c r="C20" s="5" t="s">
        <v>133</v>
      </c>
      <c r="D20" s="6">
        <v>2688</v>
      </c>
      <c r="E20" s="5" t="s">
        <v>118</v>
      </c>
      <c r="F20" s="6">
        <v>2388</v>
      </c>
      <c r="G20" s="7">
        <f t="shared" si="0"/>
        <v>0.111607142857143</v>
      </c>
      <c r="H20" s="5">
        <v>8</v>
      </c>
      <c r="I20" s="6">
        <f t="shared" si="1"/>
        <v>19104</v>
      </c>
      <c r="J20" s="5" t="s">
        <v>126</v>
      </c>
    </row>
    <row r="21" spans="1:10">
      <c r="A21" s="4">
        <v>45065</v>
      </c>
      <c r="B21" s="5" t="s">
        <v>123</v>
      </c>
      <c r="C21" s="5" t="s">
        <v>133</v>
      </c>
      <c r="D21" s="6">
        <v>2688</v>
      </c>
      <c r="E21" s="5" t="s">
        <v>118</v>
      </c>
      <c r="F21" s="6">
        <v>2388</v>
      </c>
      <c r="G21" s="7">
        <f t="shared" si="0"/>
        <v>0.111607142857143</v>
      </c>
      <c r="H21" s="5">
        <v>8</v>
      </c>
      <c r="I21" s="6">
        <f t="shared" si="1"/>
        <v>19104</v>
      </c>
      <c r="J21" s="5" t="s">
        <v>126</v>
      </c>
    </row>
    <row r="22" spans="1:10">
      <c r="A22" s="4">
        <v>45078</v>
      </c>
      <c r="B22" s="5" t="s">
        <v>123</v>
      </c>
      <c r="C22" s="5" t="s">
        <v>132</v>
      </c>
      <c r="D22" s="6">
        <v>4688</v>
      </c>
      <c r="E22" s="5" t="s">
        <v>118</v>
      </c>
      <c r="F22" s="6">
        <v>4088</v>
      </c>
      <c r="G22" s="7">
        <f t="shared" si="0"/>
        <v>0.127986348122867</v>
      </c>
      <c r="H22" s="5">
        <v>8</v>
      </c>
      <c r="I22" s="6">
        <f t="shared" si="1"/>
        <v>32704</v>
      </c>
      <c r="J22" s="5" t="s">
        <v>128</v>
      </c>
    </row>
    <row r="23" spans="1:10">
      <c r="A23" s="4">
        <v>45072</v>
      </c>
      <c r="B23" s="5" t="s">
        <v>123</v>
      </c>
      <c r="C23" s="5" t="s">
        <v>134</v>
      </c>
      <c r="D23" s="6">
        <v>1988</v>
      </c>
      <c r="E23" s="5" t="s">
        <v>135</v>
      </c>
      <c r="F23" s="6">
        <v>1988</v>
      </c>
      <c r="G23" s="7">
        <f t="shared" si="0"/>
        <v>0</v>
      </c>
      <c r="H23" s="5">
        <v>7</v>
      </c>
      <c r="I23" s="6">
        <f t="shared" si="1"/>
        <v>13916</v>
      </c>
      <c r="J23" s="5" t="s">
        <v>127</v>
      </c>
    </row>
    <row r="24" spans="1:10">
      <c r="A24" s="4">
        <v>45081</v>
      </c>
      <c r="B24" s="5" t="s">
        <v>123</v>
      </c>
      <c r="C24" s="5" t="s">
        <v>132</v>
      </c>
      <c r="D24" s="6">
        <v>4688</v>
      </c>
      <c r="E24" s="5" t="s">
        <v>118</v>
      </c>
      <c r="F24" s="6">
        <v>4088</v>
      </c>
      <c r="G24" s="7">
        <f t="shared" si="0"/>
        <v>0.127986348122867</v>
      </c>
      <c r="H24" s="5">
        <v>6</v>
      </c>
      <c r="I24" s="6">
        <f t="shared" si="1"/>
        <v>24528</v>
      </c>
      <c r="J24" s="5" t="s">
        <v>128</v>
      </c>
    </row>
    <row r="25" spans="1:10">
      <c r="A25" s="4">
        <v>45085</v>
      </c>
      <c r="B25" s="5" t="s">
        <v>123</v>
      </c>
      <c r="C25" s="5" t="s">
        <v>134</v>
      </c>
      <c r="D25" s="6">
        <v>1988</v>
      </c>
      <c r="E25" s="5" t="s">
        <v>135</v>
      </c>
      <c r="F25" s="6">
        <v>1988</v>
      </c>
      <c r="G25" s="7">
        <f t="shared" si="0"/>
        <v>0</v>
      </c>
      <c r="H25" s="5">
        <v>6</v>
      </c>
      <c r="I25" s="6">
        <f t="shared" si="1"/>
        <v>11928</v>
      </c>
      <c r="J25" s="5" t="s">
        <v>129</v>
      </c>
    </row>
    <row r="26" spans="1:10">
      <c r="A26" s="4">
        <v>45067</v>
      </c>
      <c r="B26" s="5" t="s">
        <v>123</v>
      </c>
      <c r="C26" s="5" t="s">
        <v>133</v>
      </c>
      <c r="D26" s="6">
        <v>2688</v>
      </c>
      <c r="E26" s="5" t="s">
        <v>118</v>
      </c>
      <c r="F26" s="6">
        <v>2388</v>
      </c>
      <c r="G26" s="7">
        <f t="shared" si="0"/>
        <v>0.111607142857143</v>
      </c>
      <c r="H26" s="5">
        <v>5</v>
      </c>
      <c r="I26" s="6">
        <f t="shared" si="1"/>
        <v>11940</v>
      </c>
      <c r="J26" s="5" t="s">
        <v>126</v>
      </c>
    </row>
    <row r="27" spans="1:10">
      <c r="A27" s="4">
        <v>45082</v>
      </c>
      <c r="B27" s="5" t="s">
        <v>123</v>
      </c>
      <c r="C27" s="5" t="s">
        <v>132</v>
      </c>
      <c r="D27" s="6">
        <v>4688</v>
      </c>
      <c r="E27" s="5" t="s">
        <v>118</v>
      </c>
      <c r="F27" s="6">
        <v>4088</v>
      </c>
      <c r="G27" s="7">
        <f t="shared" si="0"/>
        <v>0.127986348122867</v>
      </c>
      <c r="H27" s="5">
        <v>4</v>
      </c>
      <c r="I27" s="6">
        <f t="shared" si="1"/>
        <v>16352</v>
      </c>
      <c r="J27" s="5" t="s">
        <v>128</v>
      </c>
    </row>
    <row r="28" spans="1:10">
      <c r="A28" s="4">
        <v>45062</v>
      </c>
      <c r="B28" s="5" t="s">
        <v>123</v>
      </c>
      <c r="C28" s="5" t="s">
        <v>133</v>
      </c>
      <c r="D28" s="6">
        <v>2688</v>
      </c>
      <c r="E28" s="5" t="s">
        <v>118</v>
      </c>
      <c r="F28" s="6">
        <v>2388</v>
      </c>
      <c r="G28" s="7">
        <f t="shared" si="0"/>
        <v>0.111607142857143</v>
      </c>
      <c r="H28" s="5">
        <v>3</v>
      </c>
      <c r="I28" s="6">
        <f t="shared" si="1"/>
        <v>7164</v>
      </c>
      <c r="J28" s="5" t="s">
        <v>126</v>
      </c>
    </row>
    <row r="29" spans="1:10">
      <c r="A29" s="4">
        <v>45073</v>
      </c>
      <c r="B29" s="5" t="s">
        <v>123</v>
      </c>
      <c r="C29" s="5" t="s">
        <v>134</v>
      </c>
      <c r="D29" s="6">
        <v>1988</v>
      </c>
      <c r="E29" s="5" t="s">
        <v>135</v>
      </c>
      <c r="F29" s="6">
        <v>1988</v>
      </c>
      <c r="G29" s="7">
        <f t="shared" si="0"/>
        <v>0</v>
      </c>
      <c r="H29" s="5">
        <v>3</v>
      </c>
      <c r="I29" s="6">
        <f t="shared" si="1"/>
        <v>5964</v>
      </c>
      <c r="J29" s="5" t="s">
        <v>127</v>
      </c>
    </row>
    <row r="30" spans="1:10">
      <c r="A30" s="4">
        <v>45083</v>
      </c>
      <c r="B30" s="5" t="s">
        <v>123</v>
      </c>
      <c r="C30" s="5" t="s">
        <v>132</v>
      </c>
      <c r="D30" s="6">
        <v>4688</v>
      </c>
      <c r="E30" s="5" t="s">
        <v>118</v>
      </c>
      <c r="F30" s="6">
        <v>4088</v>
      </c>
      <c r="G30" s="7">
        <f t="shared" si="0"/>
        <v>0.127986348122867</v>
      </c>
      <c r="H30" s="5">
        <v>3</v>
      </c>
      <c r="I30" s="6">
        <f t="shared" si="1"/>
        <v>12264</v>
      </c>
      <c r="J30" s="5" t="s">
        <v>128</v>
      </c>
    </row>
    <row r="31" spans="1:10">
      <c r="A31" s="4">
        <v>45068</v>
      </c>
      <c r="B31" s="5" t="s">
        <v>123</v>
      </c>
      <c r="C31" s="5" t="s">
        <v>133</v>
      </c>
      <c r="D31" s="6">
        <v>2688</v>
      </c>
      <c r="E31" s="5" t="s">
        <v>118</v>
      </c>
      <c r="F31" s="6">
        <v>2388</v>
      </c>
      <c r="G31" s="7">
        <f t="shared" si="0"/>
        <v>0.111607142857143</v>
      </c>
      <c r="H31" s="5">
        <v>2</v>
      </c>
      <c r="I31" s="6">
        <f t="shared" si="1"/>
        <v>4776</v>
      </c>
      <c r="J31" s="5" t="s">
        <v>126</v>
      </c>
    </row>
    <row r="32" spans="1:10">
      <c r="A32" s="4">
        <v>45070</v>
      </c>
      <c r="B32" s="5" t="s">
        <v>123</v>
      </c>
      <c r="C32" s="5" t="s">
        <v>134</v>
      </c>
      <c r="D32" s="6">
        <v>1988</v>
      </c>
      <c r="E32" s="5" t="s">
        <v>135</v>
      </c>
      <c r="F32" s="6">
        <v>1988</v>
      </c>
      <c r="G32" s="7">
        <f t="shared" si="0"/>
        <v>0</v>
      </c>
      <c r="H32" s="5">
        <v>2</v>
      </c>
      <c r="I32" s="6">
        <f t="shared" si="1"/>
        <v>3976</v>
      </c>
      <c r="J32" s="5" t="s">
        <v>127</v>
      </c>
    </row>
    <row r="33" spans="1:10">
      <c r="A33" s="4">
        <v>45069</v>
      </c>
      <c r="B33" s="5" t="s">
        <v>123</v>
      </c>
      <c r="C33" s="5" t="s">
        <v>133</v>
      </c>
      <c r="D33" s="6">
        <v>2688</v>
      </c>
      <c r="E33" s="5" t="s">
        <v>118</v>
      </c>
      <c r="F33" s="6">
        <v>2388</v>
      </c>
      <c r="G33" s="7">
        <f t="shared" si="0"/>
        <v>0.111607142857143</v>
      </c>
      <c r="H33" s="5">
        <v>1</v>
      </c>
      <c r="I33" s="6">
        <f t="shared" si="1"/>
        <v>2388</v>
      </c>
      <c r="J33" s="5" t="s">
        <v>126</v>
      </c>
    </row>
    <row r="34" spans="1:10">
      <c r="A34" s="4">
        <v>45074</v>
      </c>
      <c r="B34" s="5" t="s">
        <v>123</v>
      </c>
      <c r="C34" s="5" t="s">
        <v>134</v>
      </c>
      <c r="D34" s="6">
        <v>1988</v>
      </c>
      <c r="E34" s="5" t="s">
        <v>135</v>
      </c>
      <c r="F34" s="6">
        <v>1988</v>
      </c>
      <c r="G34" s="7">
        <f t="shared" ref="G34:G58" si="2">(D34-F34)/D34</f>
        <v>0</v>
      </c>
      <c r="H34" s="5">
        <v>1</v>
      </c>
      <c r="I34" s="6">
        <f t="shared" ref="I34:I58" si="3">F34*H34</f>
        <v>1988</v>
      </c>
      <c r="J34" s="5" t="s">
        <v>127</v>
      </c>
    </row>
    <row r="35" spans="1:10">
      <c r="A35" s="4">
        <v>45076</v>
      </c>
      <c r="B35" s="5" t="s">
        <v>123</v>
      </c>
      <c r="C35" s="5" t="s">
        <v>134</v>
      </c>
      <c r="D35" s="6">
        <v>1988</v>
      </c>
      <c r="E35" s="5" t="s">
        <v>135</v>
      </c>
      <c r="F35" s="6">
        <v>1988</v>
      </c>
      <c r="G35" s="7">
        <f t="shared" si="2"/>
        <v>0</v>
      </c>
      <c r="H35" s="5">
        <v>1</v>
      </c>
      <c r="I35" s="6">
        <f t="shared" si="3"/>
        <v>1988</v>
      </c>
      <c r="J35" s="5" t="s">
        <v>127</v>
      </c>
    </row>
    <row r="36" spans="1:10">
      <c r="A36" s="4">
        <v>45077</v>
      </c>
      <c r="B36" s="5" t="s">
        <v>123</v>
      </c>
      <c r="C36" s="5" t="s">
        <v>132</v>
      </c>
      <c r="D36" s="6">
        <v>4688</v>
      </c>
      <c r="E36" s="5" t="s">
        <v>118</v>
      </c>
      <c r="F36" s="6">
        <v>4088</v>
      </c>
      <c r="G36" s="7">
        <f t="shared" si="2"/>
        <v>0.127986348122867</v>
      </c>
      <c r="H36" s="5">
        <v>1</v>
      </c>
      <c r="I36" s="6">
        <f t="shared" si="3"/>
        <v>4088</v>
      </c>
      <c r="J36" s="5" t="s">
        <v>128</v>
      </c>
    </row>
    <row r="37" spans="1:10">
      <c r="A37" s="4">
        <v>45075</v>
      </c>
      <c r="B37" s="5" t="s">
        <v>123</v>
      </c>
      <c r="C37" s="5" t="s">
        <v>134</v>
      </c>
      <c r="D37" s="6">
        <v>1988</v>
      </c>
      <c r="E37" s="5" t="s">
        <v>135</v>
      </c>
      <c r="F37" s="6">
        <v>1988</v>
      </c>
      <c r="G37" s="7">
        <f t="shared" si="2"/>
        <v>0</v>
      </c>
      <c r="H37" s="5">
        <v>0</v>
      </c>
      <c r="I37" s="6">
        <f t="shared" si="3"/>
        <v>0</v>
      </c>
      <c r="J37" s="5" t="s">
        <v>127</v>
      </c>
    </row>
    <row r="38" spans="1:10">
      <c r="A38" s="4">
        <v>45093</v>
      </c>
      <c r="B38" s="5" t="s">
        <v>124</v>
      </c>
      <c r="C38" s="5" t="s">
        <v>136</v>
      </c>
      <c r="D38" s="6">
        <v>3688</v>
      </c>
      <c r="E38" s="5" t="s">
        <v>118</v>
      </c>
      <c r="F38" s="6">
        <v>2988</v>
      </c>
      <c r="G38" s="7">
        <f t="shared" si="2"/>
        <v>0.189804772234273</v>
      </c>
      <c r="H38" s="5">
        <v>15</v>
      </c>
      <c r="I38" s="6">
        <f t="shared" si="3"/>
        <v>44820</v>
      </c>
      <c r="J38" s="5" t="s">
        <v>130</v>
      </c>
    </row>
    <row r="39" spans="1:10">
      <c r="A39" s="4">
        <v>45099</v>
      </c>
      <c r="B39" s="5" t="s">
        <v>124</v>
      </c>
      <c r="C39" s="5" t="s">
        <v>137</v>
      </c>
      <c r="D39" s="6">
        <v>3188</v>
      </c>
      <c r="E39" s="5" t="s">
        <v>118</v>
      </c>
      <c r="F39" s="6">
        <v>2888</v>
      </c>
      <c r="G39" s="7">
        <f t="shared" si="2"/>
        <v>0.0941028858218319</v>
      </c>
      <c r="H39" s="5">
        <v>12</v>
      </c>
      <c r="I39" s="6">
        <f t="shared" si="3"/>
        <v>34656</v>
      </c>
      <c r="J39" s="5" t="s">
        <v>131</v>
      </c>
    </row>
    <row r="40" spans="1:10">
      <c r="A40" s="4">
        <v>45086</v>
      </c>
      <c r="B40" s="5" t="s">
        <v>124</v>
      </c>
      <c r="C40" s="5" t="s">
        <v>136</v>
      </c>
      <c r="D40" s="6">
        <v>3688</v>
      </c>
      <c r="E40" s="5" t="s">
        <v>118</v>
      </c>
      <c r="F40" s="6">
        <v>2988</v>
      </c>
      <c r="G40" s="7">
        <f t="shared" si="2"/>
        <v>0.189804772234273</v>
      </c>
      <c r="H40" s="5">
        <v>10</v>
      </c>
      <c r="I40" s="6">
        <f t="shared" si="3"/>
        <v>29880</v>
      </c>
      <c r="J40" s="5" t="s">
        <v>129</v>
      </c>
    </row>
    <row r="41" spans="1:10">
      <c r="A41" s="4">
        <v>45094</v>
      </c>
      <c r="B41" s="5" t="s">
        <v>124</v>
      </c>
      <c r="C41" s="5" t="s">
        <v>136</v>
      </c>
      <c r="D41" s="6">
        <v>3688</v>
      </c>
      <c r="E41" s="5" t="s">
        <v>118</v>
      </c>
      <c r="F41" s="6">
        <v>2988</v>
      </c>
      <c r="G41" s="7">
        <f t="shared" si="2"/>
        <v>0.189804772234273</v>
      </c>
      <c r="H41" s="5">
        <v>10</v>
      </c>
      <c r="I41" s="6">
        <f t="shared" si="3"/>
        <v>29880</v>
      </c>
      <c r="J41" s="5" t="s">
        <v>130</v>
      </c>
    </row>
    <row r="42" spans="1:10">
      <c r="A42" s="4">
        <v>45100</v>
      </c>
      <c r="B42" s="5" t="s">
        <v>124</v>
      </c>
      <c r="C42" s="5" t="s">
        <v>137</v>
      </c>
      <c r="D42" s="6">
        <v>3188</v>
      </c>
      <c r="E42" s="5" t="s">
        <v>118</v>
      </c>
      <c r="F42" s="6">
        <v>2888</v>
      </c>
      <c r="G42" s="7">
        <f t="shared" si="2"/>
        <v>0.0941028858218319</v>
      </c>
      <c r="H42" s="5">
        <v>8</v>
      </c>
      <c r="I42" s="6">
        <f t="shared" si="3"/>
        <v>23104</v>
      </c>
      <c r="J42" s="5" t="s">
        <v>131</v>
      </c>
    </row>
    <row r="43" spans="1:10">
      <c r="A43" s="4">
        <v>45049</v>
      </c>
      <c r="B43" s="5" t="s">
        <v>124</v>
      </c>
      <c r="C43" s="5" t="s">
        <v>137</v>
      </c>
      <c r="D43" s="6">
        <v>3188</v>
      </c>
      <c r="E43" s="5" t="s">
        <v>118</v>
      </c>
      <c r="F43" s="6">
        <v>2888</v>
      </c>
      <c r="G43" s="7">
        <f t="shared" si="2"/>
        <v>0.0941028858218319</v>
      </c>
      <c r="H43" s="5">
        <v>6</v>
      </c>
      <c r="I43" s="6">
        <f t="shared" si="3"/>
        <v>17328</v>
      </c>
      <c r="J43" s="5" t="s">
        <v>119</v>
      </c>
    </row>
    <row r="44" spans="1:10">
      <c r="A44" s="4">
        <v>45087</v>
      </c>
      <c r="B44" s="5" t="s">
        <v>124</v>
      </c>
      <c r="C44" s="5" t="s">
        <v>138</v>
      </c>
      <c r="D44" s="6">
        <v>2988</v>
      </c>
      <c r="E44" s="5" t="s">
        <v>135</v>
      </c>
      <c r="F44" s="6">
        <v>2988</v>
      </c>
      <c r="G44" s="7">
        <f t="shared" si="2"/>
        <v>0</v>
      </c>
      <c r="H44" s="5">
        <v>6</v>
      </c>
      <c r="I44" s="6">
        <f t="shared" si="3"/>
        <v>17928</v>
      </c>
      <c r="J44" s="5" t="s">
        <v>129</v>
      </c>
    </row>
    <row r="45" spans="1:10">
      <c r="A45" s="4">
        <v>45095</v>
      </c>
      <c r="B45" s="5" t="s">
        <v>124</v>
      </c>
      <c r="C45" s="5" t="s">
        <v>136</v>
      </c>
      <c r="D45" s="6">
        <v>3688</v>
      </c>
      <c r="E45" s="5" t="s">
        <v>118</v>
      </c>
      <c r="F45" s="6">
        <v>2988</v>
      </c>
      <c r="G45" s="7">
        <f t="shared" si="2"/>
        <v>0.189804772234273</v>
      </c>
      <c r="H45" s="5">
        <v>6</v>
      </c>
      <c r="I45" s="6">
        <f t="shared" si="3"/>
        <v>17928</v>
      </c>
      <c r="J45" s="5" t="s">
        <v>130</v>
      </c>
    </row>
    <row r="46" spans="1:10">
      <c r="A46" s="4">
        <v>45101</v>
      </c>
      <c r="B46" s="5" t="s">
        <v>124</v>
      </c>
      <c r="C46" s="5" t="s">
        <v>137</v>
      </c>
      <c r="D46" s="6">
        <v>3188</v>
      </c>
      <c r="E46" s="5" t="s">
        <v>118</v>
      </c>
      <c r="F46" s="6">
        <v>2888</v>
      </c>
      <c r="G46" s="7">
        <f t="shared" si="2"/>
        <v>0.0941028858218319</v>
      </c>
      <c r="H46" s="5">
        <v>5</v>
      </c>
      <c r="I46" s="6">
        <f t="shared" si="3"/>
        <v>14440</v>
      </c>
      <c r="J46" s="5" t="s">
        <v>131</v>
      </c>
    </row>
    <row r="47" spans="1:10">
      <c r="A47" s="4">
        <v>45092</v>
      </c>
      <c r="B47" s="5" t="s">
        <v>124</v>
      </c>
      <c r="C47" s="5" t="s">
        <v>136</v>
      </c>
      <c r="D47" s="6">
        <v>3688</v>
      </c>
      <c r="E47" s="5" t="s">
        <v>118</v>
      </c>
      <c r="F47" s="6">
        <v>2988</v>
      </c>
      <c r="G47" s="7">
        <f t="shared" si="2"/>
        <v>0.189804772234273</v>
      </c>
      <c r="H47" s="5">
        <v>4</v>
      </c>
      <c r="I47" s="6">
        <f t="shared" si="3"/>
        <v>11952</v>
      </c>
      <c r="J47" s="5" t="s">
        <v>130</v>
      </c>
    </row>
    <row r="48" spans="1:10">
      <c r="A48" s="4">
        <v>45103</v>
      </c>
      <c r="B48" s="5" t="s">
        <v>124</v>
      </c>
      <c r="C48" s="5" t="s">
        <v>137</v>
      </c>
      <c r="D48" s="6">
        <v>3188</v>
      </c>
      <c r="E48" s="5" t="s">
        <v>118</v>
      </c>
      <c r="F48" s="6">
        <v>2888</v>
      </c>
      <c r="G48" s="7">
        <f t="shared" si="2"/>
        <v>0.0941028858218319</v>
      </c>
      <c r="H48" s="5">
        <v>4</v>
      </c>
      <c r="I48" s="6">
        <f t="shared" si="3"/>
        <v>11552</v>
      </c>
      <c r="J48" s="5" t="s">
        <v>131</v>
      </c>
    </row>
    <row r="49" spans="1:10">
      <c r="A49" s="4">
        <v>45064</v>
      </c>
      <c r="B49" s="5" t="s">
        <v>124</v>
      </c>
      <c r="C49" s="5" t="s">
        <v>138</v>
      </c>
      <c r="D49" s="6">
        <v>2988</v>
      </c>
      <c r="E49" s="5" t="s">
        <v>135</v>
      </c>
      <c r="F49" s="6">
        <v>2988</v>
      </c>
      <c r="G49" s="7">
        <f t="shared" si="2"/>
        <v>0</v>
      </c>
      <c r="H49" s="5">
        <v>3</v>
      </c>
      <c r="I49" s="6">
        <f t="shared" si="3"/>
        <v>8964</v>
      </c>
      <c r="J49" s="5" t="s">
        <v>126</v>
      </c>
    </row>
    <row r="50" spans="1:10">
      <c r="A50" s="4">
        <v>45088</v>
      </c>
      <c r="B50" s="5" t="s">
        <v>124</v>
      </c>
      <c r="C50" s="5" t="s">
        <v>138</v>
      </c>
      <c r="D50" s="6">
        <v>2988</v>
      </c>
      <c r="E50" s="5" t="s">
        <v>135</v>
      </c>
      <c r="F50" s="6">
        <v>2988</v>
      </c>
      <c r="G50" s="7">
        <f t="shared" si="2"/>
        <v>0</v>
      </c>
      <c r="H50" s="5">
        <v>3</v>
      </c>
      <c r="I50" s="6">
        <f t="shared" si="3"/>
        <v>8964</v>
      </c>
      <c r="J50" s="5" t="s">
        <v>129</v>
      </c>
    </row>
    <row r="51" spans="1:10">
      <c r="A51" s="4">
        <v>45098</v>
      </c>
      <c r="B51" s="5" t="s">
        <v>124</v>
      </c>
      <c r="C51" s="5" t="s">
        <v>137</v>
      </c>
      <c r="D51" s="6">
        <v>3188</v>
      </c>
      <c r="E51" s="5" t="s">
        <v>118</v>
      </c>
      <c r="F51" s="6">
        <v>2888</v>
      </c>
      <c r="G51" s="7">
        <f t="shared" si="2"/>
        <v>0.0941028858218319</v>
      </c>
      <c r="H51" s="5">
        <v>3</v>
      </c>
      <c r="I51" s="6">
        <f t="shared" si="3"/>
        <v>8664</v>
      </c>
      <c r="J51" s="5" t="s">
        <v>131</v>
      </c>
    </row>
    <row r="52" spans="1:10">
      <c r="A52" s="4">
        <v>45102</v>
      </c>
      <c r="B52" s="5" t="s">
        <v>124</v>
      </c>
      <c r="C52" s="5" t="s">
        <v>137</v>
      </c>
      <c r="D52" s="6">
        <v>3188</v>
      </c>
      <c r="E52" s="5" t="s">
        <v>118</v>
      </c>
      <c r="F52" s="6">
        <v>2888</v>
      </c>
      <c r="G52" s="7">
        <f t="shared" si="2"/>
        <v>0.0941028858218319</v>
      </c>
      <c r="H52" s="5">
        <v>3</v>
      </c>
      <c r="I52" s="6">
        <f t="shared" si="3"/>
        <v>8664</v>
      </c>
      <c r="J52" s="5" t="s">
        <v>131</v>
      </c>
    </row>
    <row r="53" spans="1:10">
      <c r="A53" s="4">
        <v>45084</v>
      </c>
      <c r="B53" s="5" t="s">
        <v>124</v>
      </c>
      <c r="C53" s="5" t="s">
        <v>138</v>
      </c>
      <c r="D53" s="6">
        <v>2988</v>
      </c>
      <c r="E53" s="5" t="s">
        <v>135</v>
      </c>
      <c r="F53" s="6">
        <v>2988</v>
      </c>
      <c r="G53" s="7">
        <f t="shared" si="2"/>
        <v>0</v>
      </c>
      <c r="H53" s="5">
        <v>2</v>
      </c>
      <c r="I53" s="6">
        <f t="shared" si="3"/>
        <v>5976</v>
      </c>
      <c r="J53" s="5" t="s">
        <v>129</v>
      </c>
    </row>
    <row r="54" spans="1:10">
      <c r="A54" s="4">
        <v>45090</v>
      </c>
      <c r="B54" s="5" t="s">
        <v>124</v>
      </c>
      <c r="C54" s="5" t="s">
        <v>138</v>
      </c>
      <c r="D54" s="6">
        <v>2988</v>
      </c>
      <c r="E54" s="5" t="s">
        <v>135</v>
      </c>
      <c r="F54" s="6">
        <v>2988</v>
      </c>
      <c r="G54" s="7">
        <f t="shared" si="2"/>
        <v>0</v>
      </c>
      <c r="H54" s="5">
        <v>2</v>
      </c>
      <c r="I54" s="6">
        <f t="shared" si="3"/>
        <v>5976</v>
      </c>
      <c r="J54" s="5" t="s">
        <v>129</v>
      </c>
    </row>
    <row r="55" spans="1:10">
      <c r="A55" s="4">
        <v>45096</v>
      </c>
      <c r="B55" s="5" t="s">
        <v>124</v>
      </c>
      <c r="C55" s="5" t="s">
        <v>136</v>
      </c>
      <c r="D55" s="6">
        <v>3688</v>
      </c>
      <c r="E55" s="5" t="s">
        <v>118</v>
      </c>
      <c r="F55" s="6">
        <v>2988</v>
      </c>
      <c r="G55" s="7">
        <f t="shared" si="2"/>
        <v>0.189804772234273</v>
      </c>
      <c r="H55" s="5">
        <v>2</v>
      </c>
      <c r="I55" s="6">
        <f t="shared" si="3"/>
        <v>5976</v>
      </c>
      <c r="J55" s="5" t="s">
        <v>130</v>
      </c>
    </row>
    <row r="56" spans="1:10">
      <c r="A56" s="4">
        <v>45089</v>
      </c>
      <c r="B56" s="5" t="s">
        <v>124</v>
      </c>
      <c r="C56" s="5" t="s">
        <v>138</v>
      </c>
      <c r="D56" s="6">
        <v>2988</v>
      </c>
      <c r="E56" s="5" t="s">
        <v>135</v>
      </c>
      <c r="F56" s="6">
        <v>2988</v>
      </c>
      <c r="G56" s="7">
        <f t="shared" si="2"/>
        <v>0</v>
      </c>
      <c r="H56" s="5">
        <v>0</v>
      </c>
      <c r="I56" s="6">
        <f t="shared" si="3"/>
        <v>0</v>
      </c>
      <c r="J56" s="5" t="s">
        <v>129</v>
      </c>
    </row>
    <row r="57" spans="1:10">
      <c r="A57" s="4">
        <v>45091</v>
      </c>
      <c r="B57" s="5" t="s">
        <v>124</v>
      </c>
      <c r="C57" s="5" t="s">
        <v>138</v>
      </c>
      <c r="D57" s="6">
        <v>2988</v>
      </c>
      <c r="E57" s="5" t="s">
        <v>135</v>
      </c>
      <c r="F57" s="6">
        <v>2988</v>
      </c>
      <c r="G57" s="7">
        <f t="shared" si="2"/>
        <v>0</v>
      </c>
      <c r="H57" s="5">
        <v>0</v>
      </c>
      <c r="I57" s="6">
        <f t="shared" si="3"/>
        <v>0</v>
      </c>
      <c r="J57" s="5" t="s">
        <v>129</v>
      </c>
    </row>
    <row r="58" spans="1:10">
      <c r="A58" s="4">
        <v>45097</v>
      </c>
      <c r="B58" s="5" t="s">
        <v>124</v>
      </c>
      <c r="C58" s="5" t="s">
        <v>136</v>
      </c>
      <c r="D58" s="6">
        <v>3688</v>
      </c>
      <c r="E58" s="5" t="s">
        <v>118</v>
      </c>
      <c r="F58" s="6">
        <v>2988</v>
      </c>
      <c r="G58" s="7">
        <f t="shared" si="2"/>
        <v>0.189804772234273</v>
      </c>
      <c r="H58" s="5">
        <v>0</v>
      </c>
      <c r="I58" s="6">
        <f t="shared" si="3"/>
        <v>0</v>
      </c>
      <c r="J58" s="5" t="s">
        <v>130</v>
      </c>
    </row>
  </sheetData>
  <sortState ref="A2:J58">
    <sortCondition ref="B2:B58"/>
    <sortCondition ref="H2:H58" descending="1"/>
  </sortState>
  <printOptions horizontalCentered="1" verticalCentered="1"/>
  <pageMargins left="1" right="1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员工信息</vt:lpstr>
      <vt:lpstr>学历与基础工资对照表</vt:lpstr>
      <vt:lpstr>销售清单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</dc:creator>
  <cp:lastModifiedBy>+_+</cp:lastModifiedBy>
  <dcterms:created xsi:type="dcterms:W3CDTF">2019-10-24T05:51:00Z</dcterms:created>
  <cp:lastPrinted>2023-10-16T07:46:00Z</cp:lastPrinted>
  <dcterms:modified xsi:type="dcterms:W3CDTF">2024-08-16T01:53:24Z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4F065C8D51DC44A58EE64BD749E0FD36_12</vt:lpwstr>
  </property>
  <property fmtid="{D5CDD505-2E9C-101B-9397-08002B2CF9AE}" pid="3" name="KSOProductBuildVer">
    <vt:lpwstr>2052-12.1.0.17147</vt:lpwstr>
  </property>
</Properties>
</file>