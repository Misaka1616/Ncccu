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家庭装修预算" sheetId="4" r:id="rId1"/>
    <sheet name="分析表" sheetId="6" r:id="rId2"/>
    <sheet name="家具清单" sheetId="5" r:id="rId3"/>
  </sheets>
  <definedNames>
    <definedName name="_xlnm._FilterDatabase" localSheetId="2" hidden="1">家具清单!$A$5:$F$35</definedName>
    <definedName name="_xlnm.Criteria" localSheetId="2">家具清单!$A$1:$F$3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<sst xmlns="http://schemas.openxmlformats.org/spreadsheetml/2006/main" count="428" uniqueCount="128">
  <si>
    <t>家庭装修预算表</t>
  </si>
  <si>
    <t>序号</t>
  </si>
  <si>
    <t>装修类型</t>
  </si>
  <si>
    <t>工程名称</t>
  </si>
  <si>
    <t>单位</t>
  </si>
  <si>
    <t>数量</t>
  </si>
  <si>
    <t>材料费(元)/㎡</t>
  </si>
  <si>
    <t>人工费(元)/㎡</t>
  </si>
  <si>
    <t>总计（¥）</t>
  </si>
  <si>
    <t>各装修类型费用统计</t>
  </si>
  <si>
    <t>001</t>
  </si>
  <si>
    <t>基础建设</t>
  </si>
  <si>
    <t>水路改造</t>
  </si>
  <si>
    <r>
      <rPr>
        <sz val="11"/>
        <color theme="1"/>
        <rFont val="宋体"/>
        <charset val="134"/>
        <scheme val="minor"/>
      </rPr>
      <t>m</t>
    </r>
    <r>
      <rPr>
        <vertAlign val="superscript"/>
        <sz val="11"/>
        <color theme="1"/>
        <rFont val="宋体"/>
        <charset val="134"/>
        <scheme val="minor"/>
      </rPr>
      <t>2</t>
    </r>
  </si>
  <si>
    <t>类别</t>
  </si>
  <si>
    <t>费用</t>
  </si>
  <si>
    <t>评估结果</t>
  </si>
  <si>
    <t>002</t>
  </si>
  <si>
    <t>电路改造</t>
  </si>
  <si>
    <t>003</t>
  </si>
  <si>
    <t>地基改造</t>
  </si>
  <si>
    <t>客厅与过道</t>
  </si>
  <si>
    <t>004</t>
  </si>
  <si>
    <t>铺地砖</t>
  </si>
  <si>
    <t>厨房</t>
  </si>
  <si>
    <t>005</t>
  </si>
  <si>
    <t>贴地脚线</t>
  </si>
  <si>
    <t>卫生间</t>
  </si>
  <si>
    <t>006</t>
  </si>
  <si>
    <t>墙面</t>
  </si>
  <si>
    <t>主卧</t>
  </si>
  <si>
    <t>007</t>
  </si>
  <si>
    <t>波打线铺贴</t>
  </si>
  <si>
    <t>儿童房</t>
  </si>
  <si>
    <t>008</t>
  </si>
  <si>
    <t>鞋柜及造型</t>
  </si>
  <si>
    <t>书房</t>
  </si>
  <si>
    <t>009</t>
  </si>
  <si>
    <t>电视墙柜</t>
  </si>
  <si>
    <t>其他</t>
  </si>
  <si>
    <t>010</t>
  </si>
  <si>
    <t>屏风</t>
  </si>
  <si>
    <t>011</t>
  </si>
  <si>
    <t>酒水柜</t>
  </si>
  <si>
    <t>012</t>
  </si>
  <si>
    <t>防潮处理</t>
  </si>
  <si>
    <t>013</t>
  </si>
  <si>
    <t>天花制作</t>
  </si>
  <si>
    <t>014</t>
  </si>
  <si>
    <t>天花饰面</t>
  </si>
  <si>
    <t>015</t>
  </si>
  <si>
    <t>阳台防水</t>
  </si>
  <si>
    <t>016</t>
  </si>
  <si>
    <t>入户花园绿化</t>
  </si>
  <si>
    <t>017</t>
  </si>
  <si>
    <t>花园设施建设</t>
  </si>
  <si>
    <t>018</t>
  </si>
  <si>
    <t>推拉门及门套</t>
  </si>
  <si>
    <t>019</t>
  </si>
  <si>
    <t>橱柜</t>
  </si>
  <si>
    <t>020</t>
  </si>
  <si>
    <t>墙纸粘贴</t>
  </si>
  <si>
    <t>021</t>
  </si>
  <si>
    <t>马桶</t>
  </si>
  <si>
    <t>022</t>
  </si>
  <si>
    <t>浴室玻璃</t>
  </si>
  <si>
    <t>023</t>
  </si>
  <si>
    <t>储物柜</t>
  </si>
  <si>
    <t>024</t>
  </si>
  <si>
    <t>床头墙</t>
  </si>
  <si>
    <t>025</t>
  </si>
  <si>
    <t>定制衣柜</t>
  </si>
  <si>
    <t>026</t>
  </si>
  <si>
    <t>铝制天花</t>
  </si>
  <si>
    <t>027</t>
  </si>
  <si>
    <t>床头柜</t>
  </si>
  <si>
    <t>028</t>
  </si>
  <si>
    <t>029</t>
  </si>
  <si>
    <t>030</t>
  </si>
  <si>
    <t>031</t>
  </si>
  <si>
    <t>032</t>
  </si>
  <si>
    <t>定制书架</t>
  </si>
  <si>
    <t>033</t>
  </si>
  <si>
    <t>电脑架</t>
  </si>
  <si>
    <t>034</t>
  </si>
  <si>
    <t>健身区</t>
  </si>
  <si>
    <t>035</t>
  </si>
  <si>
    <t>窗帘及装饰品</t>
  </si>
  <si>
    <t>名称</t>
  </si>
  <si>
    <t>单价（元）</t>
  </si>
  <si>
    <t>总计（元）</t>
  </si>
  <si>
    <t>电器</t>
  </si>
  <si>
    <r>
      <rPr>
        <sz val="11"/>
        <color theme="1"/>
        <rFont val="宋体"/>
        <charset val="134"/>
        <scheme val="minor"/>
      </rPr>
      <t>&gt;</t>
    </r>
    <r>
      <rPr>
        <sz val="11"/>
        <color theme="1"/>
        <rFont val="宋体"/>
        <charset val="134"/>
        <scheme val="minor"/>
      </rPr>
      <t>=1200</t>
    </r>
  </si>
  <si>
    <t>家具</t>
  </si>
  <si>
    <t>&gt;=1200</t>
  </si>
  <si>
    <t>空调</t>
  </si>
  <si>
    <t>台</t>
  </si>
  <si>
    <t>洗碗机</t>
  </si>
  <si>
    <t>冰箱</t>
  </si>
  <si>
    <t>电视</t>
  </si>
  <si>
    <t>跑步机</t>
  </si>
  <si>
    <t>烟灶套装</t>
  </si>
  <si>
    <t>咖啡机</t>
  </si>
  <si>
    <t>电饭煲</t>
  </si>
  <si>
    <t>电热水器</t>
  </si>
  <si>
    <t>烤箱</t>
  </si>
  <si>
    <t>电磁炉</t>
  </si>
  <si>
    <t>床</t>
  </si>
  <si>
    <t>个</t>
  </si>
  <si>
    <t>衣柜</t>
  </si>
  <si>
    <t>张</t>
  </si>
  <si>
    <t>沙发</t>
  </si>
  <si>
    <t>套</t>
  </si>
  <si>
    <t>书桌</t>
  </si>
  <si>
    <t>电视柜</t>
  </si>
  <si>
    <t>餐椅</t>
  </si>
  <si>
    <t>餐桌</t>
  </si>
  <si>
    <t>书架</t>
  </si>
  <si>
    <t>梳妆台</t>
  </si>
  <si>
    <t>茶几</t>
  </si>
  <si>
    <t>鞋柜</t>
  </si>
  <si>
    <t>书椅</t>
  </si>
  <si>
    <t>用品</t>
  </si>
  <si>
    <t>窗帘</t>
  </si>
  <si>
    <t>地毯</t>
  </si>
  <si>
    <t>床上用品</t>
  </si>
  <si>
    <t>沙发套</t>
  </si>
  <si>
    <t>抱枕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</si>
</sst>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\¥\-#,##0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6"/>
      <color theme="1"/>
      <name val="华文中宋"/>
      <charset val="134"/>
    </font>
    <font>
      <sz val="11"/>
      <color theme="1"/>
      <name val="华文中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49">
      <alignment vertical="center"/>
    </xf>
    <xf numFmtId="0" fontId="1" fillId="0" borderId="0" xfId="49" applyFill="1" applyAlignment="1">
      <alignment vertical="center"/>
    </xf>
    <xf numFmtId="0" fontId="1" fillId="0" borderId="0" xfId="49" applyNumberFormat="1" applyFill="1" applyAlignment="1">
      <alignment vertical="center"/>
    </xf>
    <xf numFmtId="0" fontId="2" fillId="0" borderId="0" xfId="49" applyFont="1">
      <alignment vertical="center"/>
    </xf>
    <xf numFmtId="0" fontId="1" fillId="0" borderId="0" xfId="49" applyFill="1" applyBorder="1" applyAlignment="1">
      <alignment vertical="center"/>
    </xf>
    <xf numFmtId="0" fontId="1" fillId="0" borderId="0" xfId="49" applyNumberFormat="1" applyFill="1" applyBorder="1" applyAlignme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1" fillId="0" borderId="0" xfId="49" applyBorder="1" applyAlignment="1">
      <alignment horizontal="left" vertical="center"/>
    </xf>
    <xf numFmtId="0" fontId="1" fillId="0" borderId="0" xfId="49" applyFill="1" applyBorder="1" applyAlignment="1">
      <alignment horizontal="left" vertical="center"/>
    </xf>
    <xf numFmtId="0" fontId="2" fillId="0" borderId="0" xfId="49" applyFont="1" applyFill="1" applyBorder="1" applyAlignment="1">
      <alignment horizontal="left" vertical="center"/>
    </xf>
    <xf numFmtId="0" fontId="1" fillId="0" borderId="0" xfId="49" applyBorder="1">
      <alignment vertical="center"/>
    </xf>
    <xf numFmtId="0" fontId="2" fillId="0" borderId="0" xfId="49" applyFont="1" applyFill="1" applyBorder="1" applyAlignment="1">
      <alignment vertical="center"/>
    </xf>
    <xf numFmtId="176" fontId="1" fillId="0" borderId="0" xfId="49" applyNumberFormat="1" applyFill="1" applyBorder="1" applyAlignment="1">
      <alignment vertical="center"/>
    </xf>
    <xf numFmtId="0" fontId="4" fillId="0" borderId="1" xfId="49" applyFont="1" applyFill="1" applyBorder="1" applyAlignment="1">
      <alignment horizontal="center" vertical="center"/>
    </xf>
    <xf numFmtId="0" fontId="1" fillId="0" borderId="1" xfId="49" applyFill="1" applyBorder="1" applyAlignment="1">
      <alignment vertical="center"/>
    </xf>
    <xf numFmtId="0" fontId="2" fillId="0" borderId="1" xfId="49" applyFont="1" applyFill="1" applyBorder="1" applyAlignment="1">
      <alignment vertical="center"/>
    </xf>
    <xf numFmtId="0" fontId="1" fillId="0" borderId="0" xfId="49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D8C2F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分析图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50"/>
      <c:rotY val="50"/>
      <c:depthPercent val="100"/>
      <c:rAngAx val="0"/>
      <c:perspective val="60"/>
    </c:view3D>
    <c:floor>
      <c:thickness val="0"/>
      <c:spPr>
        <a:noFill/>
        <a:ln>
          <a:noFill/>
        </a:ln>
        <a:effectLst/>
      </c:spPr>
    </c:floor>
    <c:sideWall>
      <c:thickness val="0"/>
      <c:spPr>
        <a:noFill/>
        <a:ln>
          <a:noFill/>
        </a:ln>
        <a:effectLst/>
      </c:spPr>
    </c:sideWall>
    <c:backWall>
      <c:thickness val="0"/>
      <c:spPr>
        <a:noFill/>
        <a:ln>
          <a:noFill/>
        </a:ln>
        <a:effectLst/>
      </c:spPr>
    </c:backWall>
    <c:plotArea>
      <c:layout/>
      <c:pie3DChart>
        <c:varyColors val="1"/>
        <c:ser>
          <c:idx val="0"/>
          <c:order val="0"/>
          <c:tx>
            <c:strRef>
              <c:f>分析表!$K$3</c:f>
              <c:strCache>
                <c:ptCount val="1"/>
                <c:pt idx="0">
                  <c:v>费用</c:v>
                </c:pt>
              </c:strCache>
            </c:strRef>
          </c:tx>
          <c:spPr/>
          <c:explosion val="2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分析表!$J$4:$J$11</c:f>
              <c:strCache>
                <c:ptCount val="8"/>
                <c:pt idx="0">
                  <c:v>基础建设</c:v>
                </c:pt>
                <c:pt idx="1">
                  <c:v>客厅与过道</c:v>
                </c:pt>
                <c:pt idx="2">
                  <c:v>厨房</c:v>
                </c:pt>
                <c:pt idx="3">
                  <c:v>卫生间</c:v>
                </c:pt>
                <c:pt idx="4">
                  <c:v>主卧</c:v>
                </c:pt>
                <c:pt idx="5">
                  <c:v>儿童房</c:v>
                </c:pt>
                <c:pt idx="6">
                  <c:v>书房</c:v>
                </c:pt>
                <c:pt idx="7">
                  <c:v>其他</c:v>
                </c:pt>
              </c:strCache>
            </c:strRef>
          </c:cat>
          <c:val>
            <c:numRef>
              <c:f>分析表!$K$4:$K$11</c:f>
              <c:numCache>
                <c:formatCode>General</c:formatCode>
                <c:ptCount val="8"/>
                <c:pt idx="0">
                  <c:v>47660</c:v>
                </c:pt>
                <c:pt idx="1">
                  <c:v>55328</c:v>
                </c:pt>
                <c:pt idx="2">
                  <c:v>12680</c:v>
                </c:pt>
                <c:pt idx="3">
                  <c:v>3560</c:v>
                </c:pt>
                <c:pt idx="4">
                  <c:v>13510</c:v>
                </c:pt>
                <c:pt idx="5">
                  <c:v>7460</c:v>
                </c:pt>
                <c:pt idx="6">
                  <c:v>2880</c:v>
                </c:pt>
                <c:pt idx="7">
                  <c:v>18680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2843bb3-dda8-4740-bd88-64a771530353}"/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118240</xdr:colOff>
      <xdr:row>13</xdr:row>
      <xdr:rowOff>57150</xdr:rowOff>
    </xdr:from>
    <xdr:to>
      <xdr:col>13</xdr:col>
      <xdr:colOff>564931</xdr:colOff>
      <xdr:row>26</xdr:row>
      <xdr:rowOff>111672</xdr:rowOff>
    </xdr:to>
    <xdr:graphicFrame>
      <xdr:nvGraphicFramePr>
        <xdr:cNvPr id="2" name="图表 1"/>
        <xdr:cNvGraphicFramePr/>
      </xdr:nvGraphicFramePr>
      <xdr:xfrm>
        <a:off x="7423785" y="2628900"/>
        <a:ext cx="3418205" cy="25304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zoomScale="145" zoomScaleNormal="145" topLeftCell="A16" workbookViewId="0">
      <selection activeCell="M15" sqref="M15"/>
    </sheetView>
  </sheetViews>
  <sheetFormatPr defaultColWidth="8.875" defaultRowHeight="13.5"/>
  <cols>
    <col min="1" max="1" width="8.875" style="1" customWidth="1"/>
    <col min="2" max="3" width="13" style="1" customWidth="1"/>
    <col min="4" max="4" width="5.875" style="1" customWidth="1"/>
    <col min="5" max="5" width="8.875" style="1"/>
    <col min="6" max="7" width="14.25" style="1" customWidth="1"/>
    <col min="8" max="9" width="8.875" style="1"/>
    <col min="10" max="10" width="13" style="1" customWidth="1"/>
    <col min="11" max="11" width="8.25" style="1" customWidth="1"/>
    <col min="12" max="16384" width="8.875" style="1"/>
  </cols>
  <sheetData>
    <row r="1" ht="21.75" spans="1:9">
      <c r="A1" s="7" t="s">
        <v>0</v>
      </c>
      <c r="B1" s="7"/>
      <c r="C1" s="7"/>
      <c r="D1" s="7"/>
      <c r="E1" s="7"/>
      <c r="F1" s="7"/>
      <c r="G1" s="7"/>
      <c r="H1" s="7"/>
      <c r="I1" s="2"/>
    </row>
    <row r="2" ht="15.75" spans="1:1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2"/>
      <c r="J2" s="14" t="s">
        <v>9</v>
      </c>
      <c r="K2" s="14"/>
      <c r="L2" s="14"/>
    </row>
    <row r="3" ht="15" spans="1:12">
      <c r="A3" s="17" t="s">
        <v>10</v>
      </c>
      <c r="B3" s="5" t="s">
        <v>11</v>
      </c>
      <c r="C3" s="5" t="s">
        <v>12</v>
      </c>
      <c r="D3" s="12" t="s">
        <v>13</v>
      </c>
      <c r="E3" s="5">
        <v>60</v>
      </c>
      <c r="F3" s="5">
        <v>60</v>
      </c>
      <c r="G3" s="5">
        <v>10</v>
      </c>
      <c r="H3" s="13">
        <f>(F3+G3)*E3</f>
        <v>4200</v>
      </c>
      <c r="I3" s="2"/>
      <c r="J3" s="15" t="s">
        <v>14</v>
      </c>
      <c r="K3" s="15" t="s">
        <v>15</v>
      </c>
      <c r="L3" s="16" t="s">
        <v>16</v>
      </c>
    </row>
    <row r="4" ht="15" spans="1:12">
      <c r="A4" s="17" t="s">
        <v>17</v>
      </c>
      <c r="B4" s="12" t="s">
        <v>11</v>
      </c>
      <c r="C4" s="12" t="s">
        <v>18</v>
      </c>
      <c r="D4" s="12" t="s">
        <v>13</v>
      </c>
      <c r="E4" s="5">
        <v>80</v>
      </c>
      <c r="F4" s="5">
        <v>80</v>
      </c>
      <c r="G4" s="5">
        <v>20</v>
      </c>
      <c r="H4" s="13">
        <f t="shared" ref="H4:H37" si="0">(F4+G4)*E4</f>
        <v>8000</v>
      </c>
      <c r="I4" s="2"/>
      <c r="J4" s="16" t="s">
        <v>11</v>
      </c>
      <c r="K4" s="15">
        <f>SUMIF($B$3:$B$37,J4,$H$3:$H$37)</f>
        <v>47660</v>
      </c>
      <c r="L4" s="15" t="str">
        <f>IF(K4&lt;5000,"便宜",IF(K4&lt;10000,"中等",IF(K4&lt;20000,"贵","超预算")))</f>
        <v>超预算</v>
      </c>
    </row>
    <row r="5" ht="15" spans="1:12">
      <c r="A5" s="17" t="s">
        <v>19</v>
      </c>
      <c r="B5" s="5" t="s">
        <v>11</v>
      </c>
      <c r="C5" s="12" t="s">
        <v>20</v>
      </c>
      <c r="D5" s="12" t="s">
        <v>13</v>
      </c>
      <c r="E5" s="5">
        <v>180</v>
      </c>
      <c r="F5" s="5">
        <v>20</v>
      </c>
      <c r="G5" s="5">
        <v>10</v>
      </c>
      <c r="H5" s="13">
        <f t="shared" si="0"/>
        <v>5400</v>
      </c>
      <c r="I5" s="2"/>
      <c r="J5" s="16" t="s">
        <v>21</v>
      </c>
      <c r="K5" s="15">
        <f t="shared" ref="K5:K11" si="1">SUMIF($B$3:$B$37,J5,$H$3:$H$37)</f>
        <v>55328</v>
      </c>
      <c r="L5" s="15" t="str">
        <f t="shared" ref="L5:L11" si="2">IF(K5&lt;5000,"便宜",IF(K5&lt;10000,"中等",IF(K5&lt;20000,"贵","超预算")))</f>
        <v>超预算</v>
      </c>
    </row>
    <row r="6" ht="15" spans="1:12">
      <c r="A6" s="17" t="s">
        <v>22</v>
      </c>
      <c r="B6" s="5" t="s">
        <v>11</v>
      </c>
      <c r="C6" s="5" t="s">
        <v>23</v>
      </c>
      <c r="D6" s="12" t="s">
        <v>13</v>
      </c>
      <c r="E6" s="5">
        <v>120</v>
      </c>
      <c r="F6" s="5">
        <v>28</v>
      </c>
      <c r="G6" s="5">
        <v>60</v>
      </c>
      <c r="H6" s="13">
        <f t="shared" si="0"/>
        <v>10560</v>
      </c>
      <c r="I6" s="2"/>
      <c r="J6" s="16" t="s">
        <v>24</v>
      </c>
      <c r="K6" s="15">
        <f t="shared" si="1"/>
        <v>12680</v>
      </c>
      <c r="L6" s="15" t="str">
        <f t="shared" si="2"/>
        <v>贵</v>
      </c>
    </row>
    <row r="7" ht="15" spans="1:12">
      <c r="A7" s="17" t="s">
        <v>25</v>
      </c>
      <c r="B7" s="5" t="s">
        <v>11</v>
      </c>
      <c r="C7" s="12" t="s">
        <v>26</v>
      </c>
      <c r="D7" s="12" t="s">
        <v>13</v>
      </c>
      <c r="E7" s="5">
        <v>30</v>
      </c>
      <c r="F7" s="5">
        <v>80</v>
      </c>
      <c r="G7" s="5">
        <v>30</v>
      </c>
      <c r="H7" s="13">
        <f t="shared" si="0"/>
        <v>3300</v>
      </c>
      <c r="I7" s="2"/>
      <c r="J7" s="16" t="s">
        <v>27</v>
      </c>
      <c r="K7" s="15">
        <f t="shared" si="1"/>
        <v>3560</v>
      </c>
      <c r="L7" s="15" t="str">
        <f t="shared" si="2"/>
        <v>便宜</v>
      </c>
    </row>
    <row r="8" ht="15" spans="1:12">
      <c r="A8" s="17" t="s">
        <v>28</v>
      </c>
      <c r="B8" s="5" t="s">
        <v>11</v>
      </c>
      <c r="C8" s="5" t="s">
        <v>29</v>
      </c>
      <c r="D8" s="12" t="s">
        <v>13</v>
      </c>
      <c r="E8" s="5">
        <v>300</v>
      </c>
      <c r="F8" s="5">
        <v>20</v>
      </c>
      <c r="G8" s="5">
        <v>10</v>
      </c>
      <c r="H8" s="13">
        <f t="shared" si="0"/>
        <v>9000</v>
      </c>
      <c r="I8" s="2"/>
      <c r="J8" s="15" t="s">
        <v>30</v>
      </c>
      <c r="K8" s="15">
        <f t="shared" si="1"/>
        <v>13510</v>
      </c>
      <c r="L8" s="15" t="str">
        <f t="shared" si="2"/>
        <v>贵</v>
      </c>
    </row>
    <row r="9" ht="15" spans="1:12">
      <c r="A9" s="17" t="s">
        <v>31</v>
      </c>
      <c r="B9" s="5" t="s">
        <v>11</v>
      </c>
      <c r="C9" s="5" t="s">
        <v>32</v>
      </c>
      <c r="D9" s="12" t="s">
        <v>13</v>
      </c>
      <c r="E9" s="5">
        <v>180</v>
      </c>
      <c r="F9" s="5">
        <v>20</v>
      </c>
      <c r="G9" s="5">
        <v>20</v>
      </c>
      <c r="H9" s="13">
        <f t="shared" si="0"/>
        <v>7200</v>
      </c>
      <c r="I9" s="2"/>
      <c r="J9" s="15" t="s">
        <v>33</v>
      </c>
      <c r="K9" s="15">
        <f t="shared" si="1"/>
        <v>7460</v>
      </c>
      <c r="L9" s="15" t="str">
        <f t="shared" si="2"/>
        <v>中等</v>
      </c>
    </row>
    <row r="10" ht="15" spans="1:12">
      <c r="A10" s="17" t="s">
        <v>34</v>
      </c>
      <c r="B10" s="12" t="s">
        <v>21</v>
      </c>
      <c r="C10" s="5" t="s">
        <v>35</v>
      </c>
      <c r="D10" s="12" t="s">
        <v>13</v>
      </c>
      <c r="E10" s="5">
        <v>2</v>
      </c>
      <c r="F10" s="5">
        <v>600</v>
      </c>
      <c r="G10" s="5">
        <v>80</v>
      </c>
      <c r="H10" s="13">
        <f t="shared" si="0"/>
        <v>1360</v>
      </c>
      <c r="I10" s="2"/>
      <c r="J10" s="15" t="s">
        <v>36</v>
      </c>
      <c r="K10" s="15">
        <f t="shared" si="1"/>
        <v>2880</v>
      </c>
      <c r="L10" s="15" t="str">
        <f t="shared" si="2"/>
        <v>便宜</v>
      </c>
    </row>
    <row r="11" ht="15" spans="1:12">
      <c r="A11" s="17" t="s">
        <v>37</v>
      </c>
      <c r="B11" s="12" t="s">
        <v>21</v>
      </c>
      <c r="C11" s="5" t="s">
        <v>38</v>
      </c>
      <c r="D11" s="12" t="s">
        <v>13</v>
      </c>
      <c r="E11" s="5">
        <v>8</v>
      </c>
      <c r="F11" s="5">
        <v>600</v>
      </c>
      <c r="G11" s="5">
        <v>220</v>
      </c>
      <c r="H11" s="13">
        <f t="shared" si="0"/>
        <v>6560</v>
      </c>
      <c r="I11" s="2"/>
      <c r="J11" s="15" t="s">
        <v>39</v>
      </c>
      <c r="K11" s="15">
        <f t="shared" si="1"/>
        <v>18680</v>
      </c>
      <c r="L11" s="15" t="str">
        <f t="shared" si="2"/>
        <v>贵</v>
      </c>
    </row>
    <row r="12" ht="15" spans="1:12">
      <c r="A12" s="17" t="s">
        <v>40</v>
      </c>
      <c r="B12" s="12" t="s">
        <v>21</v>
      </c>
      <c r="C12" s="5" t="s">
        <v>41</v>
      </c>
      <c r="D12" s="12" t="s">
        <v>13</v>
      </c>
      <c r="E12" s="5">
        <v>2</v>
      </c>
      <c r="F12" s="5">
        <v>480</v>
      </c>
      <c r="G12" s="5">
        <v>20</v>
      </c>
      <c r="H12" s="13">
        <f t="shared" si="0"/>
        <v>1000</v>
      </c>
      <c r="I12" s="2"/>
      <c r="J12" s="2"/>
      <c r="K12" s="2"/>
      <c r="L12" s="2"/>
    </row>
    <row r="13" ht="15" spans="1:12">
      <c r="A13" s="17" t="s">
        <v>42</v>
      </c>
      <c r="B13" s="12" t="s">
        <v>21</v>
      </c>
      <c r="C13" s="12" t="s">
        <v>43</v>
      </c>
      <c r="D13" s="12" t="s">
        <v>13</v>
      </c>
      <c r="E13" s="5">
        <v>2</v>
      </c>
      <c r="F13" s="5">
        <v>1200</v>
      </c>
      <c r="G13" s="5">
        <v>230</v>
      </c>
      <c r="H13" s="13">
        <f t="shared" si="0"/>
        <v>2860</v>
      </c>
      <c r="I13" s="2"/>
      <c r="J13" s="2"/>
      <c r="K13" s="2"/>
      <c r="L13" s="2"/>
    </row>
    <row r="14" ht="15" spans="1:12">
      <c r="A14" s="17" t="s">
        <v>44</v>
      </c>
      <c r="B14" s="12" t="s">
        <v>21</v>
      </c>
      <c r="C14" s="5" t="s">
        <v>45</v>
      </c>
      <c r="D14" s="12" t="s">
        <v>13</v>
      </c>
      <c r="E14" s="5">
        <v>4</v>
      </c>
      <c r="F14" s="5">
        <v>100</v>
      </c>
      <c r="G14" s="5">
        <v>80</v>
      </c>
      <c r="H14" s="13">
        <f t="shared" si="0"/>
        <v>720</v>
      </c>
      <c r="I14" s="2"/>
      <c r="J14" s="2"/>
      <c r="K14" s="2"/>
      <c r="L14" s="2"/>
    </row>
    <row r="15" ht="15" spans="1:11">
      <c r="A15" s="17" t="s">
        <v>46</v>
      </c>
      <c r="B15" s="12" t="s">
        <v>21</v>
      </c>
      <c r="C15" s="5" t="s">
        <v>47</v>
      </c>
      <c r="D15" s="12" t="s">
        <v>13</v>
      </c>
      <c r="E15" s="5">
        <v>30</v>
      </c>
      <c r="F15" s="5">
        <v>120</v>
      </c>
      <c r="G15" s="5">
        <v>80</v>
      </c>
      <c r="H15" s="13">
        <f t="shared" si="0"/>
        <v>6000</v>
      </c>
      <c r="I15" s="2"/>
      <c r="J15" s="2"/>
      <c r="K15" s="2"/>
    </row>
    <row r="16" ht="15" spans="1:11">
      <c r="A16" s="17" t="s">
        <v>48</v>
      </c>
      <c r="B16" s="12" t="s">
        <v>21</v>
      </c>
      <c r="C16" s="5" t="s">
        <v>49</v>
      </c>
      <c r="D16" s="12" t="s">
        <v>13</v>
      </c>
      <c r="E16" s="5">
        <v>10</v>
      </c>
      <c r="F16" s="5">
        <v>270</v>
      </c>
      <c r="G16" s="5">
        <v>80</v>
      </c>
      <c r="H16" s="13">
        <f t="shared" si="0"/>
        <v>3500</v>
      </c>
      <c r="I16" s="2"/>
      <c r="J16" s="2"/>
      <c r="K16" s="2"/>
    </row>
    <row r="17" ht="15" spans="1:11">
      <c r="A17" s="17" t="s">
        <v>50</v>
      </c>
      <c r="B17" s="12" t="s">
        <v>21</v>
      </c>
      <c r="C17" s="5" t="s">
        <v>51</v>
      </c>
      <c r="D17" s="12" t="s">
        <v>13</v>
      </c>
      <c r="E17" s="5">
        <v>8</v>
      </c>
      <c r="F17" s="5">
        <v>56</v>
      </c>
      <c r="G17" s="5">
        <v>60</v>
      </c>
      <c r="H17" s="13">
        <f t="shared" si="0"/>
        <v>928</v>
      </c>
      <c r="I17" s="2"/>
      <c r="J17" s="2"/>
      <c r="K17" s="2"/>
    </row>
    <row r="18" ht="15" spans="1:10">
      <c r="A18" s="17" t="s">
        <v>52</v>
      </c>
      <c r="B18" s="12" t="s">
        <v>21</v>
      </c>
      <c r="C18" s="5" t="s">
        <v>53</v>
      </c>
      <c r="D18" s="12" t="s">
        <v>13</v>
      </c>
      <c r="E18" s="5">
        <v>10</v>
      </c>
      <c r="F18" s="5">
        <v>2300</v>
      </c>
      <c r="G18" s="5">
        <v>300</v>
      </c>
      <c r="H18" s="13">
        <f t="shared" si="0"/>
        <v>26000</v>
      </c>
      <c r="I18" s="2"/>
      <c r="J18" s="2"/>
    </row>
    <row r="19" ht="15" spans="1:10">
      <c r="A19" s="17" t="s">
        <v>54</v>
      </c>
      <c r="B19" s="12" t="s">
        <v>21</v>
      </c>
      <c r="C19" s="5" t="s">
        <v>55</v>
      </c>
      <c r="D19" s="12" t="s">
        <v>13</v>
      </c>
      <c r="E19" s="5">
        <v>2</v>
      </c>
      <c r="F19" s="5">
        <v>3000</v>
      </c>
      <c r="G19" s="5">
        <v>200</v>
      </c>
      <c r="H19" s="13">
        <f t="shared" si="0"/>
        <v>6400</v>
      </c>
      <c r="I19" s="2"/>
      <c r="J19" s="2"/>
    </row>
    <row r="20" ht="15" spans="1:10">
      <c r="A20" s="17" t="s">
        <v>56</v>
      </c>
      <c r="B20" s="5" t="s">
        <v>24</v>
      </c>
      <c r="C20" s="5" t="s">
        <v>57</v>
      </c>
      <c r="D20" s="12" t="s">
        <v>13</v>
      </c>
      <c r="E20" s="5">
        <v>1</v>
      </c>
      <c r="F20" s="5">
        <v>800</v>
      </c>
      <c r="G20" s="5">
        <v>200</v>
      </c>
      <c r="H20" s="13">
        <f t="shared" si="0"/>
        <v>1000</v>
      </c>
      <c r="I20" s="2"/>
      <c r="J20" s="2"/>
    </row>
    <row r="21" ht="15" spans="1:10">
      <c r="A21" s="17" t="s">
        <v>58</v>
      </c>
      <c r="B21" s="5" t="s">
        <v>24</v>
      </c>
      <c r="C21" s="5" t="s">
        <v>59</v>
      </c>
      <c r="D21" s="12" t="s">
        <v>13</v>
      </c>
      <c r="E21" s="5">
        <v>2</v>
      </c>
      <c r="F21" s="5">
        <v>1200</v>
      </c>
      <c r="G21" s="5">
        <v>120</v>
      </c>
      <c r="H21" s="13">
        <f t="shared" si="0"/>
        <v>2640</v>
      </c>
      <c r="I21" s="2"/>
      <c r="J21" s="2"/>
    </row>
    <row r="22" ht="15" spans="1:10">
      <c r="A22" s="17" t="s">
        <v>60</v>
      </c>
      <c r="B22" s="5" t="s">
        <v>24</v>
      </c>
      <c r="C22" s="12" t="s">
        <v>61</v>
      </c>
      <c r="D22" s="12" t="s">
        <v>13</v>
      </c>
      <c r="E22" s="5">
        <v>4</v>
      </c>
      <c r="F22" s="5">
        <v>2100</v>
      </c>
      <c r="G22" s="5">
        <v>160</v>
      </c>
      <c r="H22" s="13">
        <f t="shared" si="0"/>
        <v>9040</v>
      </c>
      <c r="I22" s="2"/>
      <c r="J22" s="2"/>
    </row>
    <row r="23" ht="15" spans="1:10">
      <c r="A23" s="17" t="s">
        <v>62</v>
      </c>
      <c r="B23" s="5" t="s">
        <v>27</v>
      </c>
      <c r="C23" s="5" t="s">
        <v>63</v>
      </c>
      <c r="D23" s="12" t="s">
        <v>13</v>
      </c>
      <c r="E23" s="5">
        <v>1</v>
      </c>
      <c r="F23" s="5">
        <v>1800</v>
      </c>
      <c r="G23" s="5">
        <v>160</v>
      </c>
      <c r="H23" s="13">
        <f t="shared" si="0"/>
        <v>1960</v>
      </c>
      <c r="I23" s="2"/>
      <c r="J23" s="2"/>
    </row>
    <row r="24" ht="15" spans="1:10">
      <c r="A24" s="17" t="s">
        <v>64</v>
      </c>
      <c r="B24" s="5" t="s">
        <v>27</v>
      </c>
      <c r="C24" s="5" t="s">
        <v>65</v>
      </c>
      <c r="D24" s="12" t="s">
        <v>13</v>
      </c>
      <c r="E24" s="5">
        <v>2</v>
      </c>
      <c r="F24" s="5">
        <v>600</v>
      </c>
      <c r="G24" s="5">
        <v>200</v>
      </c>
      <c r="H24" s="13">
        <f t="shared" si="0"/>
        <v>1600</v>
      </c>
      <c r="I24" s="2"/>
      <c r="J24" s="2"/>
    </row>
    <row r="25" ht="15" spans="1:10">
      <c r="A25" s="17" t="s">
        <v>66</v>
      </c>
      <c r="B25" s="5" t="s">
        <v>30</v>
      </c>
      <c r="C25" s="5" t="s">
        <v>67</v>
      </c>
      <c r="D25" s="12" t="s">
        <v>13</v>
      </c>
      <c r="E25" s="5">
        <v>1</v>
      </c>
      <c r="F25" s="5">
        <v>900</v>
      </c>
      <c r="G25" s="5">
        <v>100</v>
      </c>
      <c r="H25" s="13">
        <f t="shared" si="0"/>
        <v>1000</v>
      </c>
      <c r="I25" s="2"/>
      <c r="J25" s="2"/>
    </row>
    <row r="26" ht="15" spans="1:10">
      <c r="A26" s="17" t="s">
        <v>68</v>
      </c>
      <c r="B26" s="5" t="s">
        <v>30</v>
      </c>
      <c r="C26" s="5" t="s">
        <v>69</v>
      </c>
      <c r="D26" s="12" t="s">
        <v>13</v>
      </c>
      <c r="E26" s="5">
        <v>4</v>
      </c>
      <c r="F26" s="5">
        <v>300</v>
      </c>
      <c r="G26" s="5">
        <v>60</v>
      </c>
      <c r="H26" s="13">
        <f t="shared" si="0"/>
        <v>1440</v>
      </c>
      <c r="I26" s="2"/>
      <c r="J26" s="2"/>
    </row>
    <row r="27" ht="15" spans="1:10">
      <c r="A27" s="17" t="s">
        <v>70</v>
      </c>
      <c r="B27" s="5" t="s">
        <v>30</v>
      </c>
      <c r="C27" s="5" t="s">
        <v>71</v>
      </c>
      <c r="D27" s="12" t="s">
        <v>13</v>
      </c>
      <c r="E27" s="5">
        <v>2</v>
      </c>
      <c r="F27" s="5">
        <v>1300</v>
      </c>
      <c r="G27" s="5">
        <v>130</v>
      </c>
      <c r="H27" s="13">
        <f t="shared" si="0"/>
        <v>2860</v>
      </c>
      <c r="I27" s="2"/>
      <c r="J27" s="2"/>
    </row>
    <row r="28" ht="15" spans="1:12">
      <c r="A28" s="17" t="s">
        <v>72</v>
      </c>
      <c r="B28" s="5" t="s">
        <v>30</v>
      </c>
      <c r="C28" s="5" t="s">
        <v>73</v>
      </c>
      <c r="D28" s="12" t="s">
        <v>13</v>
      </c>
      <c r="E28" s="5">
        <v>25</v>
      </c>
      <c r="F28" s="5">
        <v>150</v>
      </c>
      <c r="G28" s="5">
        <v>80</v>
      </c>
      <c r="H28" s="13">
        <f t="shared" si="0"/>
        <v>5750</v>
      </c>
      <c r="I28" s="2"/>
      <c r="J28" s="2"/>
      <c r="K28" s="2"/>
      <c r="L28" s="2"/>
    </row>
    <row r="29" ht="15" spans="1:12">
      <c r="A29" s="17" t="s">
        <v>74</v>
      </c>
      <c r="B29" s="5" t="s">
        <v>30</v>
      </c>
      <c r="C29" s="12" t="s">
        <v>75</v>
      </c>
      <c r="D29" s="12" t="s">
        <v>13</v>
      </c>
      <c r="E29" s="5">
        <v>1</v>
      </c>
      <c r="F29" s="5">
        <v>2400</v>
      </c>
      <c r="G29" s="5">
        <v>60</v>
      </c>
      <c r="H29" s="13">
        <f t="shared" si="0"/>
        <v>2460</v>
      </c>
      <c r="I29" s="2"/>
      <c r="J29" s="2"/>
      <c r="K29" s="2"/>
      <c r="L29" s="2"/>
    </row>
    <row r="30" ht="15" spans="1:12">
      <c r="A30" s="17" t="s">
        <v>76</v>
      </c>
      <c r="B30" s="5" t="s">
        <v>33</v>
      </c>
      <c r="C30" s="5" t="s">
        <v>67</v>
      </c>
      <c r="D30" s="12" t="s">
        <v>13</v>
      </c>
      <c r="E30" s="5">
        <v>1</v>
      </c>
      <c r="F30" s="5">
        <v>900</v>
      </c>
      <c r="G30" s="5">
        <v>100</v>
      </c>
      <c r="H30" s="13">
        <f t="shared" si="0"/>
        <v>1000</v>
      </c>
      <c r="I30" s="2"/>
      <c r="J30" s="2"/>
      <c r="K30" s="2"/>
      <c r="L30" s="2"/>
    </row>
    <row r="31" ht="15" spans="1:12">
      <c r="A31" s="17" t="s">
        <v>77</v>
      </c>
      <c r="B31" s="5" t="s">
        <v>33</v>
      </c>
      <c r="C31" s="5" t="s">
        <v>71</v>
      </c>
      <c r="D31" s="12" t="s">
        <v>13</v>
      </c>
      <c r="E31" s="5">
        <v>2</v>
      </c>
      <c r="F31" s="5">
        <v>800</v>
      </c>
      <c r="G31" s="5">
        <v>130</v>
      </c>
      <c r="H31" s="13">
        <f t="shared" si="0"/>
        <v>1860</v>
      </c>
      <c r="I31" s="2"/>
      <c r="J31" s="2"/>
      <c r="K31" s="2"/>
      <c r="L31" s="2"/>
    </row>
    <row r="32" ht="15" spans="1:12">
      <c r="A32" s="17" t="s">
        <v>78</v>
      </c>
      <c r="B32" s="5" t="s">
        <v>33</v>
      </c>
      <c r="C32" s="5" t="s">
        <v>73</v>
      </c>
      <c r="D32" s="12" t="s">
        <v>13</v>
      </c>
      <c r="E32" s="5">
        <v>20</v>
      </c>
      <c r="F32" s="5">
        <v>150</v>
      </c>
      <c r="G32" s="5">
        <v>80</v>
      </c>
      <c r="H32" s="13">
        <f t="shared" si="0"/>
        <v>4600</v>
      </c>
      <c r="I32" s="2"/>
      <c r="J32" s="2"/>
      <c r="K32" s="2"/>
      <c r="L32" s="2"/>
    </row>
    <row r="33" ht="15" spans="1:12">
      <c r="A33" s="17" t="s">
        <v>79</v>
      </c>
      <c r="B33" s="5" t="s">
        <v>36</v>
      </c>
      <c r="C33" s="12" t="s">
        <v>67</v>
      </c>
      <c r="D33" s="12" t="s">
        <v>13</v>
      </c>
      <c r="E33" s="5">
        <v>1</v>
      </c>
      <c r="F33" s="5">
        <v>900</v>
      </c>
      <c r="G33" s="5">
        <v>100</v>
      </c>
      <c r="H33" s="13">
        <f t="shared" si="0"/>
        <v>1000</v>
      </c>
      <c r="I33" s="2"/>
      <c r="J33" s="2"/>
      <c r="K33" s="2"/>
      <c r="L33" s="2"/>
    </row>
    <row r="34" ht="15" spans="1:12">
      <c r="A34" s="17" t="s">
        <v>80</v>
      </c>
      <c r="B34" s="5" t="s">
        <v>36</v>
      </c>
      <c r="C34" s="5" t="s">
        <v>81</v>
      </c>
      <c r="D34" s="12" t="s">
        <v>13</v>
      </c>
      <c r="E34" s="5">
        <v>2</v>
      </c>
      <c r="F34" s="5">
        <v>230</v>
      </c>
      <c r="G34" s="5">
        <v>100</v>
      </c>
      <c r="H34" s="13">
        <f t="shared" si="0"/>
        <v>660</v>
      </c>
      <c r="I34" s="2"/>
      <c r="J34" s="2"/>
      <c r="K34" s="2"/>
      <c r="L34" s="2"/>
    </row>
    <row r="35" ht="15" spans="1:12">
      <c r="A35" s="17" t="s">
        <v>82</v>
      </c>
      <c r="B35" s="5" t="s">
        <v>36</v>
      </c>
      <c r="C35" s="12" t="s">
        <v>83</v>
      </c>
      <c r="D35" s="12" t="s">
        <v>13</v>
      </c>
      <c r="E35" s="5">
        <v>1</v>
      </c>
      <c r="F35" s="5">
        <v>1200</v>
      </c>
      <c r="G35" s="5">
        <v>20</v>
      </c>
      <c r="H35" s="13">
        <f t="shared" si="0"/>
        <v>1220</v>
      </c>
      <c r="I35" s="2"/>
      <c r="J35" s="2"/>
      <c r="K35" s="2"/>
      <c r="L35" s="2"/>
    </row>
    <row r="36" ht="15" spans="1:8">
      <c r="A36" s="17" t="s">
        <v>84</v>
      </c>
      <c r="B36" s="5" t="s">
        <v>39</v>
      </c>
      <c r="C36" s="12" t="s">
        <v>85</v>
      </c>
      <c r="D36" s="12" t="s">
        <v>13</v>
      </c>
      <c r="E36" s="5">
        <v>9</v>
      </c>
      <c r="F36" s="5">
        <v>800</v>
      </c>
      <c r="G36" s="5">
        <v>120</v>
      </c>
      <c r="H36" s="13">
        <f t="shared" si="0"/>
        <v>8280</v>
      </c>
    </row>
    <row r="37" ht="15" spans="1:8">
      <c r="A37" s="17" t="s">
        <v>86</v>
      </c>
      <c r="B37" s="5" t="s">
        <v>39</v>
      </c>
      <c r="C37" s="5" t="s">
        <v>87</v>
      </c>
      <c r="D37" s="12" t="s">
        <v>13</v>
      </c>
      <c r="E37" s="5">
        <v>16</v>
      </c>
      <c r="F37" s="5">
        <v>500</v>
      </c>
      <c r="G37" s="5">
        <v>150</v>
      </c>
      <c r="H37" s="13">
        <f t="shared" si="0"/>
        <v>10400</v>
      </c>
    </row>
    <row r="38" spans="1:8">
      <c r="A38" s="11"/>
      <c r="B38" s="11"/>
      <c r="C38" s="11"/>
      <c r="D38" s="11"/>
      <c r="E38" s="11"/>
      <c r="F38" s="11"/>
      <c r="G38" s="11"/>
      <c r="H38" s="11"/>
    </row>
  </sheetData>
  <mergeCells count="2">
    <mergeCell ref="A1:H1"/>
    <mergeCell ref="J2:L2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38"/>
  <sheetViews>
    <sheetView tabSelected="1" zoomScale="145" zoomScaleNormal="145" workbookViewId="0">
      <selection activeCell="P22" sqref="P22"/>
    </sheetView>
  </sheetViews>
  <sheetFormatPr defaultColWidth="8.875" defaultRowHeight="13.5"/>
  <cols>
    <col min="1" max="1" width="8.875" style="1" customWidth="1"/>
    <col min="2" max="3" width="13" style="1" customWidth="1"/>
    <col min="4" max="4" width="5.875" style="1" customWidth="1"/>
    <col min="5" max="5" width="8.875" style="1"/>
    <col min="6" max="7" width="14.25" style="1" customWidth="1"/>
    <col min="8" max="9" width="8.875" style="1"/>
    <col min="10" max="10" width="13" style="1" customWidth="1"/>
    <col min="11" max="11" width="8.25" style="1" customWidth="1"/>
    <col min="12" max="16384" width="8.875" style="1"/>
  </cols>
  <sheetData>
    <row r="1" ht="21.75" spans="1:9">
      <c r="A1" s="7" t="s">
        <v>0</v>
      </c>
      <c r="B1" s="7"/>
      <c r="C1" s="7"/>
      <c r="D1" s="7"/>
      <c r="E1" s="7"/>
      <c r="F1" s="7"/>
      <c r="G1" s="7"/>
      <c r="H1" s="7"/>
      <c r="I1" s="2"/>
    </row>
    <row r="2" ht="15.75" spans="1:12">
      <c r="A2" s="8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2"/>
      <c r="J2" s="14" t="s">
        <v>9</v>
      </c>
      <c r="K2" s="14"/>
      <c r="L2" s="14"/>
    </row>
    <row r="3" ht="15" spans="1:12">
      <c r="A3" s="17" t="s">
        <v>10</v>
      </c>
      <c r="B3" s="5" t="s">
        <v>11</v>
      </c>
      <c r="C3" s="5" t="s">
        <v>12</v>
      </c>
      <c r="D3" s="12" t="s">
        <v>13</v>
      </c>
      <c r="E3" s="5">
        <v>60</v>
      </c>
      <c r="F3" s="5">
        <v>60</v>
      </c>
      <c r="G3" s="5">
        <v>10</v>
      </c>
      <c r="H3" s="13">
        <f>(F3+G3)*E3</f>
        <v>4200</v>
      </c>
      <c r="I3" s="2"/>
      <c r="J3" s="15" t="s">
        <v>14</v>
      </c>
      <c r="K3" s="15" t="s">
        <v>15</v>
      </c>
      <c r="L3" s="16" t="s">
        <v>16</v>
      </c>
    </row>
    <row r="4" ht="15" spans="1:12">
      <c r="A4" s="17" t="s">
        <v>17</v>
      </c>
      <c r="B4" s="12" t="s">
        <v>11</v>
      </c>
      <c r="C4" s="12" t="s">
        <v>18</v>
      </c>
      <c r="D4" s="12" t="s">
        <v>13</v>
      </c>
      <c r="E4" s="5">
        <v>80</v>
      </c>
      <c r="F4" s="5">
        <v>80</v>
      </c>
      <c r="G4" s="5">
        <v>20</v>
      </c>
      <c r="H4" s="13">
        <f t="shared" ref="H4:H37" si="0">(F4+G4)*E4</f>
        <v>8000</v>
      </c>
      <c r="I4" s="2"/>
      <c r="J4" s="16" t="s">
        <v>11</v>
      </c>
      <c r="K4" s="15">
        <f>SUMIF($B$3:$B$37,J4,$H$3:$H$37)</f>
        <v>47660</v>
      </c>
      <c r="L4" s="15" t="str">
        <f>IF(K4&lt;5000,"便宜",IF(K4&lt;10000,"中等",IF(K4&lt;20000,"贵","超预算")))</f>
        <v>超预算</v>
      </c>
    </row>
    <row r="5" ht="15" spans="1:12">
      <c r="A5" s="17" t="s">
        <v>19</v>
      </c>
      <c r="B5" s="5" t="s">
        <v>11</v>
      </c>
      <c r="C5" s="12" t="s">
        <v>20</v>
      </c>
      <c r="D5" s="12" t="s">
        <v>13</v>
      </c>
      <c r="E5" s="5">
        <v>180</v>
      </c>
      <c r="F5" s="5">
        <v>20</v>
      </c>
      <c r="G5" s="5">
        <v>10</v>
      </c>
      <c r="H5" s="13">
        <f t="shared" si="0"/>
        <v>5400</v>
      </c>
      <c r="I5" s="2"/>
      <c r="J5" s="16" t="s">
        <v>21</v>
      </c>
      <c r="K5" s="15">
        <f t="shared" ref="K5:K11" si="1">SUMIF($B$3:$B$37,J5,$H$3:$H$37)</f>
        <v>55328</v>
      </c>
      <c r="L5" s="15" t="str">
        <f t="shared" ref="L5:L11" si="2">IF(K5&lt;5000,"便宜",IF(K5&lt;10000,"中等",IF(K5&lt;20000,"贵","超预算")))</f>
        <v>超预算</v>
      </c>
    </row>
    <row r="6" ht="15" spans="1:12">
      <c r="A6" s="17" t="s">
        <v>22</v>
      </c>
      <c r="B6" s="5" t="s">
        <v>11</v>
      </c>
      <c r="C6" s="5" t="s">
        <v>23</v>
      </c>
      <c r="D6" s="12" t="s">
        <v>13</v>
      </c>
      <c r="E6" s="5">
        <v>120</v>
      </c>
      <c r="F6" s="5">
        <v>28</v>
      </c>
      <c r="G6" s="5">
        <v>60</v>
      </c>
      <c r="H6" s="13">
        <f t="shared" si="0"/>
        <v>10560</v>
      </c>
      <c r="I6" s="2"/>
      <c r="J6" s="16" t="s">
        <v>24</v>
      </c>
      <c r="K6" s="15">
        <f t="shared" si="1"/>
        <v>12680</v>
      </c>
      <c r="L6" s="15" t="str">
        <f t="shared" si="2"/>
        <v>贵</v>
      </c>
    </row>
    <row r="7" ht="15" spans="1:12">
      <c r="A7" s="17" t="s">
        <v>25</v>
      </c>
      <c r="B7" s="5" t="s">
        <v>11</v>
      </c>
      <c r="C7" s="12" t="s">
        <v>26</v>
      </c>
      <c r="D7" s="12" t="s">
        <v>13</v>
      </c>
      <c r="E7" s="5">
        <v>30</v>
      </c>
      <c r="F7" s="5">
        <v>80</v>
      </c>
      <c r="G7" s="5">
        <v>30</v>
      </c>
      <c r="H7" s="13">
        <f t="shared" si="0"/>
        <v>3300</v>
      </c>
      <c r="I7" s="2"/>
      <c r="J7" s="16" t="s">
        <v>27</v>
      </c>
      <c r="K7" s="15">
        <f t="shared" si="1"/>
        <v>3560</v>
      </c>
      <c r="L7" s="15" t="str">
        <f t="shared" si="2"/>
        <v>便宜</v>
      </c>
    </row>
    <row r="8" ht="15" spans="1:12">
      <c r="A8" s="17" t="s">
        <v>28</v>
      </c>
      <c r="B8" s="5" t="s">
        <v>11</v>
      </c>
      <c r="C8" s="5" t="s">
        <v>29</v>
      </c>
      <c r="D8" s="12" t="s">
        <v>13</v>
      </c>
      <c r="E8" s="5">
        <v>300</v>
      </c>
      <c r="F8" s="5">
        <v>20</v>
      </c>
      <c r="G8" s="5">
        <v>10</v>
      </c>
      <c r="H8" s="13">
        <f t="shared" si="0"/>
        <v>9000</v>
      </c>
      <c r="I8" s="2"/>
      <c r="J8" s="15" t="s">
        <v>30</v>
      </c>
      <c r="K8" s="15">
        <f t="shared" si="1"/>
        <v>13510</v>
      </c>
      <c r="L8" s="15" t="str">
        <f t="shared" si="2"/>
        <v>贵</v>
      </c>
    </row>
    <row r="9" ht="15" spans="1:12">
      <c r="A9" s="17" t="s">
        <v>31</v>
      </c>
      <c r="B9" s="5" t="s">
        <v>11</v>
      </c>
      <c r="C9" s="5" t="s">
        <v>32</v>
      </c>
      <c r="D9" s="12" t="s">
        <v>13</v>
      </c>
      <c r="E9" s="5">
        <v>180</v>
      </c>
      <c r="F9" s="5">
        <v>20</v>
      </c>
      <c r="G9" s="5">
        <v>20</v>
      </c>
      <c r="H9" s="13">
        <f t="shared" si="0"/>
        <v>7200</v>
      </c>
      <c r="I9" s="2"/>
      <c r="J9" s="15" t="s">
        <v>33</v>
      </c>
      <c r="K9" s="15">
        <f t="shared" si="1"/>
        <v>7460</v>
      </c>
      <c r="L9" s="15" t="str">
        <f t="shared" si="2"/>
        <v>中等</v>
      </c>
    </row>
    <row r="10" ht="15" spans="1:12">
      <c r="A10" s="17" t="s">
        <v>34</v>
      </c>
      <c r="B10" s="12" t="s">
        <v>21</v>
      </c>
      <c r="C10" s="5" t="s">
        <v>35</v>
      </c>
      <c r="D10" s="12" t="s">
        <v>13</v>
      </c>
      <c r="E10" s="5">
        <v>2</v>
      </c>
      <c r="F10" s="5">
        <v>600</v>
      </c>
      <c r="G10" s="5">
        <v>80</v>
      </c>
      <c r="H10" s="13">
        <f t="shared" si="0"/>
        <v>1360</v>
      </c>
      <c r="I10" s="2"/>
      <c r="J10" s="15" t="s">
        <v>36</v>
      </c>
      <c r="K10" s="15">
        <f t="shared" si="1"/>
        <v>2880</v>
      </c>
      <c r="L10" s="15" t="str">
        <f t="shared" si="2"/>
        <v>便宜</v>
      </c>
    </row>
    <row r="11" ht="15" spans="1:12">
      <c r="A11" s="17" t="s">
        <v>37</v>
      </c>
      <c r="B11" s="12" t="s">
        <v>21</v>
      </c>
      <c r="C11" s="5" t="s">
        <v>38</v>
      </c>
      <c r="D11" s="12" t="s">
        <v>13</v>
      </c>
      <c r="E11" s="5">
        <v>8</v>
      </c>
      <c r="F11" s="5">
        <v>600</v>
      </c>
      <c r="G11" s="5">
        <v>220</v>
      </c>
      <c r="H11" s="13">
        <f t="shared" si="0"/>
        <v>6560</v>
      </c>
      <c r="I11" s="2"/>
      <c r="J11" s="15" t="s">
        <v>39</v>
      </c>
      <c r="K11" s="15">
        <f t="shared" si="1"/>
        <v>18680</v>
      </c>
      <c r="L11" s="15" t="str">
        <f t="shared" si="2"/>
        <v>贵</v>
      </c>
    </row>
    <row r="12" ht="15" spans="1:12">
      <c r="A12" s="17" t="s">
        <v>40</v>
      </c>
      <c r="B12" s="12" t="s">
        <v>21</v>
      </c>
      <c r="C12" s="5" t="s">
        <v>41</v>
      </c>
      <c r="D12" s="12" t="s">
        <v>13</v>
      </c>
      <c r="E12" s="5">
        <v>2</v>
      </c>
      <c r="F12" s="5">
        <v>480</v>
      </c>
      <c r="G12" s="5">
        <v>20</v>
      </c>
      <c r="H12" s="13">
        <f t="shared" si="0"/>
        <v>1000</v>
      </c>
      <c r="I12" s="2"/>
      <c r="J12" s="2"/>
      <c r="K12" s="2"/>
      <c r="L12" s="2"/>
    </row>
    <row r="13" ht="15" spans="1:12">
      <c r="A13" s="17" t="s">
        <v>42</v>
      </c>
      <c r="B13" s="12" t="s">
        <v>21</v>
      </c>
      <c r="C13" s="12" t="s">
        <v>43</v>
      </c>
      <c r="D13" s="12" t="s">
        <v>13</v>
      </c>
      <c r="E13" s="5">
        <v>2</v>
      </c>
      <c r="F13" s="5">
        <v>1200</v>
      </c>
      <c r="G13" s="5">
        <v>230</v>
      </c>
      <c r="H13" s="13">
        <f t="shared" si="0"/>
        <v>2860</v>
      </c>
      <c r="I13" s="2"/>
      <c r="J13" s="2"/>
      <c r="K13" s="2"/>
      <c r="L13" s="2"/>
    </row>
    <row r="14" ht="15" spans="1:12">
      <c r="A14" s="17" t="s">
        <v>44</v>
      </c>
      <c r="B14" s="12" t="s">
        <v>21</v>
      </c>
      <c r="C14" s="5" t="s">
        <v>45</v>
      </c>
      <c r="D14" s="12" t="s">
        <v>13</v>
      </c>
      <c r="E14" s="5">
        <v>4</v>
      </c>
      <c r="F14" s="5">
        <v>100</v>
      </c>
      <c r="G14" s="5">
        <v>80</v>
      </c>
      <c r="H14" s="13">
        <f t="shared" si="0"/>
        <v>720</v>
      </c>
      <c r="I14" s="2"/>
      <c r="J14" s="2"/>
      <c r="K14" s="2"/>
      <c r="L14" s="2"/>
    </row>
    <row r="15" ht="15" spans="1:11">
      <c r="A15" s="17" t="s">
        <v>46</v>
      </c>
      <c r="B15" s="12" t="s">
        <v>21</v>
      </c>
      <c r="C15" s="5" t="s">
        <v>47</v>
      </c>
      <c r="D15" s="12" t="s">
        <v>13</v>
      </c>
      <c r="E15" s="5">
        <v>30</v>
      </c>
      <c r="F15" s="5">
        <v>120</v>
      </c>
      <c r="G15" s="5">
        <v>80</v>
      </c>
      <c r="H15" s="13">
        <f t="shared" si="0"/>
        <v>6000</v>
      </c>
      <c r="I15" s="2"/>
      <c r="J15" s="2"/>
      <c r="K15" s="2"/>
    </row>
    <row r="16" ht="15" spans="1:11">
      <c r="A16" s="17" t="s">
        <v>48</v>
      </c>
      <c r="B16" s="12" t="s">
        <v>21</v>
      </c>
      <c r="C16" s="5" t="s">
        <v>49</v>
      </c>
      <c r="D16" s="12" t="s">
        <v>13</v>
      </c>
      <c r="E16" s="5">
        <v>10</v>
      </c>
      <c r="F16" s="5">
        <v>270</v>
      </c>
      <c r="G16" s="5">
        <v>80</v>
      </c>
      <c r="H16" s="13">
        <f t="shared" si="0"/>
        <v>3500</v>
      </c>
      <c r="I16" s="2"/>
      <c r="J16" s="2"/>
      <c r="K16" s="2"/>
    </row>
    <row r="17" ht="15" spans="1:11">
      <c r="A17" s="17" t="s">
        <v>50</v>
      </c>
      <c r="B17" s="12" t="s">
        <v>21</v>
      </c>
      <c r="C17" s="5" t="s">
        <v>51</v>
      </c>
      <c r="D17" s="12" t="s">
        <v>13</v>
      </c>
      <c r="E17" s="5">
        <v>8</v>
      </c>
      <c r="F17" s="5">
        <v>56</v>
      </c>
      <c r="G17" s="5">
        <v>60</v>
      </c>
      <c r="H17" s="13">
        <f t="shared" si="0"/>
        <v>928</v>
      </c>
      <c r="I17" s="2"/>
      <c r="J17" s="2"/>
      <c r="K17" s="2"/>
    </row>
    <row r="18" ht="15" spans="1:10">
      <c r="A18" s="17" t="s">
        <v>52</v>
      </c>
      <c r="B18" s="12" t="s">
        <v>21</v>
      </c>
      <c r="C18" s="5" t="s">
        <v>53</v>
      </c>
      <c r="D18" s="12" t="s">
        <v>13</v>
      </c>
      <c r="E18" s="5">
        <v>10</v>
      </c>
      <c r="F18" s="5">
        <v>2300</v>
      </c>
      <c r="G18" s="5">
        <v>300</v>
      </c>
      <c r="H18" s="13">
        <f t="shared" si="0"/>
        <v>26000</v>
      </c>
      <c r="I18" s="2"/>
      <c r="J18" s="2"/>
    </row>
    <row r="19" ht="15" spans="1:10">
      <c r="A19" s="17" t="s">
        <v>54</v>
      </c>
      <c r="B19" s="12" t="s">
        <v>21</v>
      </c>
      <c r="C19" s="5" t="s">
        <v>55</v>
      </c>
      <c r="D19" s="12" t="s">
        <v>13</v>
      </c>
      <c r="E19" s="5">
        <v>2</v>
      </c>
      <c r="F19" s="5">
        <v>3000</v>
      </c>
      <c r="G19" s="5">
        <v>200</v>
      </c>
      <c r="H19" s="13">
        <f t="shared" si="0"/>
        <v>6400</v>
      </c>
      <c r="I19" s="2"/>
      <c r="J19" s="2"/>
    </row>
    <row r="20" ht="15" spans="1:10">
      <c r="A20" s="17" t="s">
        <v>56</v>
      </c>
      <c r="B20" s="5" t="s">
        <v>24</v>
      </c>
      <c r="C20" s="5" t="s">
        <v>57</v>
      </c>
      <c r="D20" s="12" t="s">
        <v>13</v>
      </c>
      <c r="E20" s="5">
        <v>1</v>
      </c>
      <c r="F20" s="5">
        <v>800</v>
      </c>
      <c r="G20" s="5">
        <v>200</v>
      </c>
      <c r="H20" s="13">
        <f t="shared" si="0"/>
        <v>1000</v>
      </c>
      <c r="I20" s="2"/>
      <c r="J20" s="2"/>
    </row>
    <row r="21" ht="15" spans="1:10">
      <c r="A21" s="17" t="s">
        <v>58</v>
      </c>
      <c r="B21" s="5" t="s">
        <v>24</v>
      </c>
      <c r="C21" s="5" t="s">
        <v>59</v>
      </c>
      <c r="D21" s="12" t="s">
        <v>13</v>
      </c>
      <c r="E21" s="5">
        <v>2</v>
      </c>
      <c r="F21" s="5">
        <v>1200</v>
      </c>
      <c r="G21" s="5">
        <v>120</v>
      </c>
      <c r="H21" s="13">
        <f t="shared" si="0"/>
        <v>2640</v>
      </c>
      <c r="I21" s="2"/>
      <c r="J21" s="2"/>
    </row>
    <row r="22" ht="15" spans="1:10">
      <c r="A22" s="17" t="s">
        <v>60</v>
      </c>
      <c r="B22" s="5" t="s">
        <v>24</v>
      </c>
      <c r="C22" s="12" t="s">
        <v>61</v>
      </c>
      <c r="D22" s="12" t="s">
        <v>13</v>
      </c>
      <c r="E22" s="5">
        <v>4</v>
      </c>
      <c r="F22" s="5">
        <v>2100</v>
      </c>
      <c r="G22" s="5">
        <v>160</v>
      </c>
      <c r="H22" s="13">
        <f t="shared" si="0"/>
        <v>9040</v>
      </c>
      <c r="I22" s="2"/>
      <c r="J22" s="2"/>
    </row>
    <row r="23" ht="15" spans="1:10">
      <c r="A23" s="17" t="s">
        <v>62</v>
      </c>
      <c r="B23" s="5" t="s">
        <v>27</v>
      </c>
      <c r="C23" s="5" t="s">
        <v>63</v>
      </c>
      <c r="D23" s="12" t="s">
        <v>13</v>
      </c>
      <c r="E23" s="5">
        <v>1</v>
      </c>
      <c r="F23" s="5">
        <v>1800</v>
      </c>
      <c r="G23" s="5">
        <v>160</v>
      </c>
      <c r="H23" s="13">
        <f t="shared" si="0"/>
        <v>1960</v>
      </c>
      <c r="I23" s="2"/>
      <c r="J23" s="2"/>
    </row>
    <row r="24" ht="15" spans="1:10">
      <c r="A24" s="17" t="s">
        <v>64</v>
      </c>
      <c r="B24" s="5" t="s">
        <v>27</v>
      </c>
      <c r="C24" s="5" t="s">
        <v>65</v>
      </c>
      <c r="D24" s="12" t="s">
        <v>13</v>
      </c>
      <c r="E24" s="5">
        <v>2</v>
      </c>
      <c r="F24" s="5">
        <v>600</v>
      </c>
      <c r="G24" s="5">
        <v>200</v>
      </c>
      <c r="H24" s="13">
        <f t="shared" si="0"/>
        <v>1600</v>
      </c>
      <c r="I24" s="2"/>
      <c r="J24" s="2"/>
    </row>
    <row r="25" ht="15" spans="1:10">
      <c r="A25" s="17" t="s">
        <v>66</v>
      </c>
      <c r="B25" s="5" t="s">
        <v>30</v>
      </c>
      <c r="C25" s="5" t="s">
        <v>67</v>
      </c>
      <c r="D25" s="12" t="s">
        <v>13</v>
      </c>
      <c r="E25" s="5">
        <v>1</v>
      </c>
      <c r="F25" s="5">
        <v>900</v>
      </c>
      <c r="G25" s="5">
        <v>100</v>
      </c>
      <c r="H25" s="13">
        <f t="shared" si="0"/>
        <v>1000</v>
      </c>
      <c r="I25" s="2"/>
      <c r="J25" s="2"/>
    </row>
    <row r="26" ht="15" spans="1:10">
      <c r="A26" s="17" t="s">
        <v>68</v>
      </c>
      <c r="B26" s="5" t="s">
        <v>30</v>
      </c>
      <c r="C26" s="5" t="s">
        <v>69</v>
      </c>
      <c r="D26" s="12" t="s">
        <v>13</v>
      </c>
      <c r="E26" s="5">
        <v>4</v>
      </c>
      <c r="F26" s="5">
        <v>300</v>
      </c>
      <c r="G26" s="5">
        <v>60</v>
      </c>
      <c r="H26" s="13">
        <f t="shared" si="0"/>
        <v>1440</v>
      </c>
      <c r="I26" s="2"/>
      <c r="J26" s="2"/>
    </row>
    <row r="27" ht="15" spans="1:10">
      <c r="A27" s="17" t="s">
        <v>70</v>
      </c>
      <c r="B27" s="5" t="s">
        <v>30</v>
      </c>
      <c r="C27" s="5" t="s">
        <v>71</v>
      </c>
      <c r="D27" s="12" t="s">
        <v>13</v>
      </c>
      <c r="E27" s="5">
        <v>2</v>
      </c>
      <c r="F27" s="5">
        <v>1300</v>
      </c>
      <c r="G27" s="5">
        <v>130</v>
      </c>
      <c r="H27" s="13">
        <f t="shared" si="0"/>
        <v>2860</v>
      </c>
      <c r="I27" s="2"/>
      <c r="J27" s="2"/>
    </row>
    <row r="28" ht="15" spans="1:12">
      <c r="A28" s="17" t="s">
        <v>72</v>
      </c>
      <c r="B28" s="5" t="s">
        <v>30</v>
      </c>
      <c r="C28" s="5" t="s">
        <v>73</v>
      </c>
      <c r="D28" s="12" t="s">
        <v>13</v>
      </c>
      <c r="E28" s="5">
        <v>25</v>
      </c>
      <c r="F28" s="5">
        <v>150</v>
      </c>
      <c r="G28" s="5">
        <v>80</v>
      </c>
      <c r="H28" s="13">
        <f t="shared" si="0"/>
        <v>5750</v>
      </c>
      <c r="I28" s="2"/>
      <c r="J28" s="2"/>
      <c r="K28" s="2"/>
      <c r="L28" s="2"/>
    </row>
    <row r="29" ht="15" spans="1:12">
      <c r="A29" s="17" t="s">
        <v>74</v>
      </c>
      <c r="B29" s="5" t="s">
        <v>30</v>
      </c>
      <c r="C29" s="12" t="s">
        <v>75</v>
      </c>
      <c r="D29" s="12" t="s">
        <v>13</v>
      </c>
      <c r="E29" s="5">
        <v>1</v>
      </c>
      <c r="F29" s="5">
        <v>2400</v>
      </c>
      <c r="G29" s="5">
        <v>60</v>
      </c>
      <c r="H29" s="13">
        <f t="shared" si="0"/>
        <v>2460</v>
      </c>
      <c r="I29" s="2"/>
      <c r="J29" s="2"/>
      <c r="K29" s="2"/>
      <c r="L29" s="2"/>
    </row>
    <row r="30" ht="15" spans="1:12">
      <c r="A30" s="17" t="s">
        <v>76</v>
      </c>
      <c r="B30" s="5" t="s">
        <v>33</v>
      </c>
      <c r="C30" s="5" t="s">
        <v>67</v>
      </c>
      <c r="D30" s="12" t="s">
        <v>13</v>
      </c>
      <c r="E30" s="5">
        <v>1</v>
      </c>
      <c r="F30" s="5">
        <v>900</v>
      </c>
      <c r="G30" s="5">
        <v>100</v>
      </c>
      <c r="H30" s="13">
        <f t="shared" si="0"/>
        <v>1000</v>
      </c>
      <c r="I30" s="2"/>
      <c r="J30" s="2"/>
      <c r="K30" s="2"/>
      <c r="L30" s="2"/>
    </row>
    <row r="31" ht="15" spans="1:12">
      <c r="A31" s="17" t="s">
        <v>77</v>
      </c>
      <c r="B31" s="5" t="s">
        <v>33</v>
      </c>
      <c r="C31" s="5" t="s">
        <v>71</v>
      </c>
      <c r="D31" s="12" t="s">
        <v>13</v>
      </c>
      <c r="E31" s="5">
        <v>2</v>
      </c>
      <c r="F31" s="5">
        <v>800</v>
      </c>
      <c r="G31" s="5">
        <v>130</v>
      </c>
      <c r="H31" s="13">
        <f t="shared" si="0"/>
        <v>1860</v>
      </c>
      <c r="I31" s="2"/>
      <c r="J31" s="2"/>
      <c r="K31" s="2"/>
      <c r="L31" s="2"/>
    </row>
    <row r="32" ht="15" spans="1:12">
      <c r="A32" s="17" t="s">
        <v>78</v>
      </c>
      <c r="B32" s="5" t="s">
        <v>33</v>
      </c>
      <c r="C32" s="5" t="s">
        <v>73</v>
      </c>
      <c r="D32" s="12" t="s">
        <v>13</v>
      </c>
      <c r="E32" s="5">
        <v>20</v>
      </c>
      <c r="F32" s="5">
        <v>150</v>
      </c>
      <c r="G32" s="5">
        <v>80</v>
      </c>
      <c r="H32" s="13">
        <f t="shared" si="0"/>
        <v>4600</v>
      </c>
      <c r="I32" s="2"/>
      <c r="J32" s="2"/>
      <c r="K32" s="2"/>
      <c r="L32" s="2"/>
    </row>
    <row r="33" ht="15" spans="1:12">
      <c r="A33" s="17" t="s">
        <v>79</v>
      </c>
      <c r="B33" s="5" t="s">
        <v>36</v>
      </c>
      <c r="C33" s="12" t="s">
        <v>67</v>
      </c>
      <c r="D33" s="12" t="s">
        <v>13</v>
      </c>
      <c r="E33" s="5">
        <v>1</v>
      </c>
      <c r="F33" s="5">
        <v>900</v>
      </c>
      <c r="G33" s="5">
        <v>100</v>
      </c>
      <c r="H33" s="13">
        <f t="shared" si="0"/>
        <v>1000</v>
      </c>
      <c r="I33" s="2"/>
      <c r="J33" s="2"/>
      <c r="K33" s="2"/>
      <c r="L33" s="2"/>
    </row>
    <row r="34" ht="15" spans="1:12">
      <c r="A34" s="17" t="s">
        <v>80</v>
      </c>
      <c r="B34" s="5" t="s">
        <v>36</v>
      </c>
      <c r="C34" s="5" t="s">
        <v>81</v>
      </c>
      <c r="D34" s="12" t="s">
        <v>13</v>
      </c>
      <c r="E34" s="5">
        <v>2</v>
      </c>
      <c r="F34" s="5">
        <v>230</v>
      </c>
      <c r="G34" s="5">
        <v>100</v>
      </c>
      <c r="H34" s="13">
        <f t="shared" si="0"/>
        <v>660</v>
      </c>
      <c r="I34" s="2"/>
      <c r="J34" s="2"/>
      <c r="K34" s="2"/>
      <c r="L34" s="2"/>
    </row>
    <row r="35" ht="15" spans="1:12">
      <c r="A35" s="17" t="s">
        <v>82</v>
      </c>
      <c r="B35" s="5" t="s">
        <v>36</v>
      </c>
      <c r="C35" s="12" t="s">
        <v>83</v>
      </c>
      <c r="D35" s="12" t="s">
        <v>13</v>
      </c>
      <c r="E35" s="5">
        <v>1</v>
      </c>
      <c r="F35" s="5">
        <v>1200</v>
      </c>
      <c r="G35" s="5">
        <v>20</v>
      </c>
      <c r="H35" s="13">
        <f t="shared" si="0"/>
        <v>1220</v>
      </c>
      <c r="I35" s="2"/>
      <c r="J35" s="2"/>
      <c r="K35" s="2"/>
      <c r="L35" s="2"/>
    </row>
    <row r="36" ht="15" spans="1:8">
      <c r="A36" s="17" t="s">
        <v>84</v>
      </c>
      <c r="B36" s="5" t="s">
        <v>39</v>
      </c>
      <c r="C36" s="12" t="s">
        <v>85</v>
      </c>
      <c r="D36" s="12" t="s">
        <v>13</v>
      </c>
      <c r="E36" s="5">
        <v>9</v>
      </c>
      <c r="F36" s="5">
        <v>800</v>
      </c>
      <c r="G36" s="5">
        <v>120</v>
      </c>
      <c r="H36" s="13">
        <f t="shared" si="0"/>
        <v>8280</v>
      </c>
    </row>
    <row r="37" ht="15" spans="1:8">
      <c r="A37" s="17" t="s">
        <v>86</v>
      </c>
      <c r="B37" s="5" t="s">
        <v>39</v>
      </c>
      <c r="C37" s="5" t="s">
        <v>87</v>
      </c>
      <c r="D37" s="12" t="s">
        <v>13</v>
      </c>
      <c r="E37" s="5">
        <v>16</v>
      </c>
      <c r="F37" s="5">
        <v>500</v>
      </c>
      <c r="G37" s="5">
        <v>150</v>
      </c>
      <c r="H37" s="13">
        <f t="shared" si="0"/>
        <v>10400</v>
      </c>
    </row>
    <row r="38" spans="1:8">
      <c r="A38" s="11"/>
      <c r="B38" s="11"/>
      <c r="C38" s="11"/>
      <c r="D38" s="11"/>
      <c r="E38" s="11"/>
      <c r="F38" s="11"/>
      <c r="G38" s="11"/>
      <c r="H38" s="11"/>
    </row>
  </sheetData>
  <mergeCells count="2">
    <mergeCell ref="A1:H1"/>
    <mergeCell ref="J2:L2"/>
  </mergeCells>
  <conditionalFormatting sqref="F3:F37">
    <cfRule type="dataBar" priority="4">
      <dataBar>
        <cfvo type="min"/>
        <cfvo type="max"/>
        <color rgb="FFD8C2F6"/>
      </dataBar>
      <extLst>
        <ext xmlns:x14="http://schemas.microsoft.com/office/spreadsheetml/2009/9/main" uri="{B025F937-C7B1-47D3-B67F-A62EFF666E3E}">
          <x14:id>{5e53324a-3f67-4239-84a7-afd76a2b06b8}</x14:id>
        </ext>
      </extLst>
    </cfRule>
  </conditionalFormatting>
  <pageMargins left="0.75" right="0.75" top="1" bottom="1" header="0.5" footer="0.5"/>
  <pageSetup paperSize="9" orientation="portrait"/>
  <headerFooter/>
  <drawing r:id="rId1"/>
  <picture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53324a-3f67-4239-84a7-afd76a2b06b8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F3:F37</xm:sqref>
        </x14:conditionalFormatting>
        <x14:conditionalFormatting xmlns:xm="http://schemas.microsoft.com/office/excel/2006/main">
          <x14:cfRule type="iconSet" priority="1" id="{100df390-b8cb-46a9-bd74-1ddc71cb0117}">
            <x14:iconSet iconSet="3TrafficLights1" custom="1">
              <x14:cfvo type="percent">
                <xm:f>0</xm:f>
              </x14:cfvo>
              <x14:cfvo type="num">
                <xm:f>100</xm:f>
              </x14:cfvo>
              <x14:cfvo type="num">
                <xm:f>200</xm:f>
              </x14:cfvo>
              <x14:cfIcon iconSet="3Arrows" iconId="2"/>
              <x14:cfIcon iconSet="3ArrowsGray" iconId="1"/>
              <x14:cfIcon iconSet="4RedToBlack" iconId="3"/>
            </x14:iconSet>
          </x14:cfRule>
          <xm:sqref>G3:G37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F54"/>
  <sheetViews>
    <sheetView zoomScale="145" zoomScaleNormal="145" workbookViewId="0">
      <selection activeCell="M38" sqref="M38"/>
    </sheetView>
  </sheetViews>
  <sheetFormatPr defaultColWidth="8.875" defaultRowHeight="13.5" outlineLevelCol="5"/>
  <cols>
    <col min="1" max="5" width="8.875" style="1"/>
    <col min="6" max="6" width="9.625" style="1" customWidth="1"/>
    <col min="7" max="16384" width="8.875" style="1"/>
  </cols>
  <sheetData>
    <row r="1" spans="1:6">
      <c r="A1" s="2" t="s">
        <v>14</v>
      </c>
      <c r="B1" s="2" t="s">
        <v>88</v>
      </c>
      <c r="C1" s="2" t="s">
        <v>4</v>
      </c>
      <c r="D1" s="2" t="s">
        <v>5</v>
      </c>
      <c r="E1" s="2" t="s">
        <v>89</v>
      </c>
      <c r="F1" s="3" t="s">
        <v>90</v>
      </c>
    </row>
    <row r="2" spans="1:5">
      <c r="A2" s="4" t="s">
        <v>91</v>
      </c>
      <c r="E2" s="4" t="s">
        <v>92</v>
      </c>
    </row>
    <row r="3" spans="1:5">
      <c r="A3" s="4" t="s">
        <v>93</v>
      </c>
      <c r="E3" s="4" t="s">
        <v>94</v>
      </c>
    </row>
    <row r="5" spans="1:6">
      <c r="A5" s="2" t="s">
        <v>14</v>
      </c>
      <c r="B5" s="2" t="s">
        <v>88</v>
      </c>
      <c r="C5" s="2" t="s">
        <v>4</v>
      </c>
      <c r="D5" s="2" t="s">
        <v>5</v>
      </c>
      <c r="E5" s="2" t="s">
        <v>89</v>
      </c>
      <c r="F5" s="3" t="s">
        <v>90</v>
      </c>
    </row>
    <row r="6" spans="1:6">
      <c r="A6" s="5" t="s">
        <v>91</v>
      </c>
      <c r="B6" s="5" t="s">
        <v>95</v>
      </c>
      <c r="C6" s="5" t="s">
        <v>96</v>
      </c>
      <c r="D6" s="5">
        <v>5</v>
      </c>
      <c r="E6" s="5">
        <v>4600</v>
      </c>
      <c r="F6" s="6">
        <v>23000</v>
      </c>
    </row>
    <row r="7" spans="1:6">
      <c r="A7" s="5" t="s">
        <v>91</v>
      </c>
      <c r="B7" s="5" t="s">
        <v>97</v>
      </c>
      <c r="C7" s="5" t="s">
        <v>96</v>
      </c>
      <c r="D7" s="5">
        <v>1</v>
      </c>
      <c r="E7" s="5">
        <v>7800</v>
      </c>
      <c r="F7" s="6">
        <v>7800</v>
      </c>
    </row>
    <row r="8" spans="1:6">
      <c r="A8" s="5" t="s">
        <v>91</v>
      </c>
      <c r="B8" s="5" t="s">
        <v>98</v>
      </c>
      <c r="C8" s="5" t="s">
        <v>96</v>
      </c>
      <c r="D8" s="5">
        <v>1</v>
      </c>
      <c r="E8" s="5">
        <v>6800</v>
      </c>
      <c r="F8" s="6">
        <v>6800</v>
      </c>
    </row>
    <row r="9" spans="1:6">
      <c r="A9" s="5" t="s">
        <v>91</v>
      </c>
      <c r="B9" s="5" t="s">
        <v>99</v>
      </c>
      <c r="C9" s="5" t="s">
        <v>96</v>
      </c>
      <c r="D9" s="5">
        <v>1</v>
      </c>
      <c r="E9" s="5">
        <v>3900</v>
      </c>
      <c r="F9" s="6">
        <v>3900</v>
      </c>
    </row>
    <row r="10" spans="1:6">
      <c r="A10" s="5" t="s">
        <v>91</v>
      </c>
      <c r="B10" s="5" t="s">
        <v>100</v>
      </c>
      <c r="C10" s="5" t="s">
        <v>96</v>
      </c>
      <c r="D10" s="5">
        <v>1</v>
      </c>
      <c r="E10" s="5">
        <v>2390</v>
      </c>
      <c r="F10" s="6">
        <v>2390</v>
      </c>
    </row>
    <row r="11" spans="1:6">
      <c r="A11" s="5" t="s">
        <v>91</v>
      </c>
      <c r="B11" s="5" t="s">
        <v>101</v>
      </c>
      <c r="C11" s="5" t="s">
        <v>96</v>
      </c>
      <c r="D11" s="5">
        <v>1</v>
      </c>
      <c r="E11" s="5">
        <v>1200</v>
      </c>
      <c r="F11" s="6">
        <v>1200</v>
      </c>
    </row>
    <row r="12" hidden="1" spans="1:6">
      <c r="A12" s="5" t="s">
        <v>91</v>
      </c>
      <c r="B12" s="5" t="s">
        <v>102</v>
      </c>
      <c r="C12" s="5" t="s">
        <v>96</v>
      </c>
      <c r="D12" s="5">
        <v>1</v>
      </c>
      <c r="E12" s="5">
        <v>890</v>
      </c>
      <c r="F12" s="6">
        <v>890</v>
      </c>
    </row>
    <row r="13" hidden="1" spans="1:6">
      <c r="A13" s="5" t="s">
        <v>91</v>
      </c>
      <c r="B13" s="5" t="s">
        <v>103</v>
      </c>
      <c r="C13" s="5" t="s">
        <v>96</v>
      </c>
      <c r="D13" s="5">
        <v>1</v>
      </c>
      <c r="E13" s="5">
        <v>600</v>
      </c>
      <c r="F13" s="6">
        <v>600</v>
      </c>
    </row>
    <row r="14" hidden="1" spans="1:6">
      <c r="A14" s="5" t="s">
        <v>91</v>
      </c>
      <c r="B14" s="5" t="s">
        <v>104</v>
      </c>
      <c r="C14" s="5" t="s">
        <v>96</v>
      </c>
      <c r="D14" s="5">
        <v>1</v>
      </c>
      <c r="E14" s="5">
        <v>580</v>
      </c>
      <c r="F14" s="6">
        <v>580</v>
      </c>
    </row>
    <row r="15" hidden="1" spans="1:6">
      <c r="A15" s="5" t="s">
        <v>91</v>
      </c>
      <c r="B15" s="5" t="s">
        <v>105</v>
      </c>
      <c r="C15" s="5" t="s">
        <v>96</v>
      </c>
      <c r="D15" s="5">
        <v>1</v>
      </c>
      <c r="E15" s="5">
        <v>360</v>
      </c>
      <c r="F15" s="6">
        <v>360</v>
      </c>
    </row>
    <row r="16" hidden="1" spans="1:6">
      <c r="A16" s="5" t="s">
        <v>91</v>
      </c>
      <c r="B16" s="5" t="s">
        <v>106</v>
      </c>
      <c r="C16" s="5" t="s">
        <v>96</v>
      </c>
      <c r="D16" s="5">
        <v>1</v>
      </c>
      <c r="E16" s="5">
        <v>300</v>
      </c>
      <c r="F16" s="6">
        <v>300</v>
      </c>
    </row>
    <row r="17" spans="1:6">
      <c r="A17" s="5" t="s">
        <v>93</v>
      </c>
      <c r="B17" s="5" t="s">
        <v>107</v>
      </c>
      <c r="C17" s="5" t="s">
        <v>108</v>
      </c>
      <c r="D17" s="5">
        <v>3</v>
      </c>
      <c r="E17" s="5">
        <v>6500</v>
      </c>
      <c r="F17" s="6">
        <v>19500</v>
      </c>
    </row>
    <row r="18" spans="1:6">
      <c r="A18" s="5" t="s">
        <v>93</v>
      </c>
      <c r="B18" s="5" t="s">
        <v>109</v>
      </c>
      <c r="C18" s="5" t="s">
        <v>110</v>
      </c>
      <c r="D18" s="5">
        <v>3</v>
      </c>
      <c r="E18" s="5">
        <v>3800</v>
      </c>
      <c r="F18" s="6">
        <v>11400</v>
      </c>
    </row>
    <row r="19" spans="1:6">
      <c r="A19" s="5" t="s">
        <v>93</v>
      </c>
      <c r="B19" s="5" t="s">
        <v>111</v>
      </c>
      <c r="C19" s="5" t="s">
        <v>112</v>
      </c>
      <c r="D19" s="5">
        <v>1</v>
      </c>
      <c r="E19" s="5">
        <v>8900</v>
      </c>
      <c r="F19" s="6">
        <v>8900</v>
      </c>
    </row>
    <row r="20" hidden="1" spans="1:6">
      <c r="A20" s="5" t="s">
        <v>93</v>
      </c>
      <c r="B20" s="5" t="s">
        <v>59</v>
      </c>
      <c r="C20" s="5" t="s">
        <v>108</v>
      </c>
      <c r="D20" s="5">
        <v>5</v>
      </c>
      <c r="E20" s="5">
        <v>980</v>
      </c>
      <c r="F20" s="6">
        <v>4900</v>
      </c>
    </row>
    <row r="21" spans="1:6">
      <c r="A21" s="5" t="s">
        <v>93</v>
      </c>
      <c r="B21" s="5" t="s">
        <v>113</v>
      </c>
      <c r="C21" s="5" t="s">
        <v>110</v>
      </c>
      <c r="D21" s="5">
        <v>1</v>
      </c>
      <c r="E21" s="5">
        <v>4800</v>
      </c>
      <c r="F21" s="6">
        <v>4800</v>
      </c>
    </row>
    <row r="22" spans="1:6">
      <c r="A22" s="5" t="s">
        <v>93</v>
      </c>
      <c r="B22" s="5" t="s">
        <v>114</v>
      </c>
      <c r="C22" s="5" t="s">
        <v>110</v>
      </c>
      <c r="D22" s="5">
        <v>1</v>
      </c>
      <c r="E22" s="5">
        <v>3800</v>
      </c>
      <c r="F22" s="6">
        <v>3800</v>
      </c>
    </row>
    <row r="23" hidden="1" spans="1:6">
      <c r="A23" s="5" t="s">
        <v>93</v>
      </c>
      <c r="B23" s="5" t="s">
        <v>115</v>
      </c>
      <c r="C23" s="5" t="s">
        <v>108</v>
      </c>
      <c r="D23" s="5">
        <v>6</v>
      </c>
      <c r="E23" s="5">
        <v>580</v>
      </c>
      <c r="F23" s="6">
        <v>3480</v>
      </c>
    </row>
    <row r="24" spans="1:6">
      <c r="A24" s="5" t="s">
        <v>93</v>
      </c>
      <c r="B24" s="5" t="s">
        <v>116</v>
      </c>
      <c r="C24" s="5" t="s">
        <v>110</v>
      </c>
      <c r="D24" s="5">
        <v>1</v>
      </c>
      <c r="E24" s="5">
        <v>2800</v>
      </c>
      <c r="F24" s="6">
        <v>2800</v>
      </c>
    </row>
    <row r="25" hidden="1" spans="1:6">
      <c r="A25" s="5" t="s">
        <v>93</v>
      </c>
      <c r="B25" s="5" t="s">
        <v>117</v>
      </c>
      <c r="C25" s="5" t="s">
        <v>108</v>
      </c>
      <c r="D25" s="5">
        <v>2</v>
      </c>
      <c r="E25" s="5">
        <v>980</v>
      </c>
      <c r="F25" s="6">
        <v>1960</v>
      </c>
    </row>
    <row r="26" hidden="1" spans="1:6">
      <c r="A26" s="5" t="s">
        <v>93</v>
      </c>
      <c r="B26" s="5" t="s">
        <v>75</v>
      </c>
      <c r="C26" s="5" t="s">
        <v>110</v>
      </c>
      <c r="D26" s="5">
        <v>3</v>
      </c>
      <c r="E26" s="5">
        <v>600</v>
      </c>
      <c r="F26" s="6">
        <v>1800</v>
      </c>
    </row>
    <row r="27" hidden="1" spans="1:6">
      <c r="A27" s="5" t="s">
        <v>93</v>
      </c>
      <c r="B27" s="5" t="s">
        <v>118</v>
      </c>
      <c r="C27" s="5" t="s">
        <v>110</v>
      </c>
      <c r="D27" s="5">
        <v>2</v>
      </c>
      <c r="E27" s="5">
        <v>800</v>
      </c>
      <c r="F27" s="6">
        <v>1600</v>
      </c>
    </row>
    <row r="28" hidden="1" spans="1:6">
      <c r="A28" s="5" t="s">
        <v>93</v>
      </c>
      <c r="B28" s="5" t="s">
        <v>119</v>
      </c>
      <c r="C28" s="5" t="s">
        <v>108</v>
      </c>
      <c r="D28" s="5">
        <v>2</v>
      </c>
      <c r="E28" s="5">
        <v>680</v>
      </c>
      <c r="F28" s="6">
        <v>1360</v>
      </c>
    </row>
    <row r="29" hidden="1" spans="1:6">
      <c r="A29" s="5" t="s">
        <v>93</v>
      </c>
      <c r="B29" s="5" t="s">
        <v>120</v>
      </c>
      <c r="C29" s="5" t="s">
        <v>108</v>
      </c>
      <c r="D29" s="5">
        <v>2</v>
      </c>
      <c r="E29" s="5">
        <v>300</v>
      </c>
      <c r="F29" s="6">
        <v>600</v>
      </c>
    </row>
    <row r="30" hidden="1" spans="1:6">
      <c r="A30" s="5" t="s">
        <v>93</v>
      </c>
      <c r="B30" s="5" t="s">
        <v>121</v>
      </c>
      <c r="C30" s="5" t="s">
        <v>110</v>
      </c>
      <c r="D30" s="5">
        <v>1</v>
      </c>
      <c r="E30" s="5">
        <v>580</v>
      </c>
      <c r="F30" s="6">
        <v>580</v>
      </c>
    </row>
    <row r="31" hidden="1" spans="1:6">
      <c r="A31" s="5" t="s">
        <v>122</v>
      </c>
      <c r="B31" s="5" t="s">
        <v>123</v>
      </c>
      <c r="C31" s="5" t="s">
        <v>110</v>
      </c>
      <c r="D31" s="5">
        <v>18</v>
      </c>
      <c r="E31" s="5">
        <v>600</v>
      </c>
      <c r="F31" s="6">
        <v>10800</v>
      </c>
    </row>
    <row r="32" hidden="1" spans="1:6">
      <c r="A32" s="5" t="s">
        <v>122</v>
      </c>
      <c r="B32" s="5" t="s">
        <v>124</v>
      </c>
      <c r="C32" s="5" t="s">
        <v>110</v>
      </c>
      <c r="D32" s="5">
        <v>8</v>
      </c>
      <c r="E32" s="5">
        <v>800</v>
      </c>
      <c r="F32" s="6">
        <v>6400</v>
      </c>
    </row>
    <row r="33" hidden="1" spans="1:6">
      <c r="A33" s="5" t="s">
        <v>122</v>
      </c>
      <c r="B33" s="5" t="s">
        <v>125</v>
      </c>
      <c r="C33" s="5" t="s">
        <v>112</v>
      </c>
      <c r="D33" s="5">
        <v>3</v>
      </c>
      <c r="E33" s="5">
        <v>1280</v>
      </c>
      <c r="F33" s="6">
        <v>3840</v>
      </c>
    </row>
    <row r="34" hidden="1" spans="1:6">
      <c r="A34" s="5" t="s">
        <v>122</v>
      </c>
      <c r="B34" s="5" t="s">
        <v>126</v>
      </c>
      <c r="C34" s="5" t="s">
        <v>112</v>
      </c>
      <c r="D34" s="5">
        <v>1</v>
      </c>
      <c r="E34" s="5">
        <v>860</v>
      </c>
      <c r="F34" s="6">
        <v>860</v>
      </c>
    </row>
    <row r="35" hidden="1" spans="1:6">
      <c r="A35" s="5" t="s">
        <v>122</v>
      </c>
      <c r="B35" s="5" t="s">
        <v>127</v>
      </c>
      <c r="C35" s="5" t="s">
        <v>108</v>
      </c>
      <c r="D35" s="5">
        <v>4</v>
      </c>
      <c r="E35" s="5">
        <v>99</v>
      </c>
      <c r="F35" s="6">
        <v>396</v>
      </c>
    </row>
    <row r="36" spans="1:6">
      <c r="A36"/>
      <c r="B36"/>
      <c r="C36"/>
      <c r="D36"/>
      <c r="E36"/>
      <c r="F36"/>
    </row>
    <row r="37" spans="1:6">
      <c r="A37"/>
      <c r="B37"/>
      <c r="C37"/>
      <c r="D37"/>
      <c r="E37"/>
      <c r="F37"/>
    </row>
    <row r="38" spans="1:6">
      <c r="A38"/>
      <c r="B38"/>
      <c r="C38"/>
      <c r="D38"/>
      <c r="E38"/>
      <c r="F38"/>
    </row>
    <row r="39" spans="1:6">
      <c r="A39"/>
      <c r="B39"/>
      <c r="C39"/>
      <c r="D39"/>
      <c r="E39"/>
      <c r="F39"/>
    </row>
    <row r="40" spans="1:6">
      <c r="A40"/>
      <c r="B40"/>
      <c r="C40"/>
      <c r="D40"/>
      <c r="E40"/>
      <c r="F40"/>
    </row>
    <row r="41" spans="1:6">
      <c r="A41"/>
      <c r="B41"/>
      <c r="C41"/>
      <c r="D41"/>
      <c r="E41"/>
      <c r="F41"/>
    </row>
    <row r="42" spans="1:6">
      <c r="A42"/>
      <c r="B42"/>
      <c r="C42"/>
      <c r="D42"/>
      <c r="E42"/>
      <c r="F42"/>
    </row>
    <row r="43" spans="1:6">
      <c r="A43"/>
      <c r="B43"/>
      <c r="C43"/>
      <c r="D43"/>
      <c r="E43"/>
      <c r="F43"/>
    </row>
    <row r="44" spans="1:6">
      <c r="A44"/>
      <c r="B44"/>
      <c r="C44"/>
      <c r="D44"/>
      <c r="E44"/>
      <c r="F44"/>
    </row>
    <row r="45" spans="1:6">
      <c r="A45"/>
      <c r="B45"/>
      <c r="C45"/>
      <c r="D45"/>
      <c r="E45"/>
      <c r="F45"/>
    </row>
    <row r="46" spans="1:6">
      <c r="A46"/>
      <c r="B46"/>
      <c r="C46"/>
      <c r="D46"/>
      <c r="E46"/>
      <c r="F46"/>
    </row>
    <row r="47" spans="1:6">
      <c r="A47"/>
      <c r="B47"/>
      <c r="C47"/>
      <c r="D47"/>
      <c r="E47"/>
      <c r="F47"/>
    </row>
    <row r="48" spans="1:6">
      <c r="A48"/>
      <c r="B48"/>
      <c r="C48"/>
      <c r="D48"/>
      <c r="E48"/>
      <c r="F48"/>
    </row>
    <row r="49" spans="1:6">
      <c r="A49"/>
      <c r="B49"/>
      <c r="C49"/>
      <c r="D49"/>
      <c r="E49"/>
      <c r="F49"/>
    </row>
    <row r="50" spans="1:6">
      <c r="A50"/>
      <c r="B50"/>
      <c r="C50"/>
      <c r="D50"/>
      <c r="E50"/>
      <c r="F50"/>
    </row>
    <row r="51" spans="1:6">
      <c r="A51"/>
      <c r="B51"/>
      <c r="C51"/>
      <c r="D51"/>
      <c r="E51"/>
      <c r="F51"/>
    </row>
    <row r="52" spans="1:6">
      <c r="A52"/>
      <c r="B52"/>
      <c r="C52"/>
      <c r="D52"/>
      <c r="E52"/>
      <c r="F52"/>
    </row>
    <row r="53" spans="1:6">
      <c r="A53"/>
      <c r="B53"/>
      <c r="C53"/>
      <c r="D53"/>
      <c r="E53"/>
      <c r="F53"/>
    </row>
    <row r="54" spans="1:6">
      <c r="A54"/>
      <c r="B54"/>
      <c r="C54"/>
      <c r="D54"/>
      <c r="E54"/>
      <c r="F54"/>
    </row>
  </sheetData>
  <sortState ref="A2:F31">
    <sortCondition ref="A2:A31"/>
    <sortCondition ref="F2:F3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家庭装修预算</vt:lpstr>
      <vt:lpstr>分析表</vt:lpstr>
      <vt:lpstr>家具清单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+_+</cp:lastModifiedBy>
  <dcterms:created xsi:type="dcterms:W3CDTF">2024-09-13T05:44:00Z</dcterms:created>
  <dcterms:modified xsi:type="dcterms:W3CDTF">2025-07-10T03:10:33Z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2992210753A544218305ECC8F7124D2F_12</vt:lpwstr>
  </property>
  <property fmtid="{D5CDD505-2E9C-101B-9397-08002B2CF9AE}" pid="3" name="KSOProductBuildVer">
    <vt:lpwstr>2052-12.1.0.21915</vt:lpwstr>
  </property>
</Properties>
</file>